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1" i="1"/>
  <c r="D50"/>
  <c r="D49"/>
  <c r="D48"/>
  <c r="I46"/>
  <c r="E46"/>
  <c r="D46"/>
  <c r="I45"/>
  <c r="E45"/>
  <c r="D45"/>
  <c r="L44"/>
  <c r="K44"/>
  <c r="F44"/>
  <c r="G44" s="1"/>
  <c r="H44" s="1"/>
  <c r="L42"/>
  <c r="K43"/>
  <c r="F43"/>
  <c r="K42"/>
  <c r="F42"/>
  <c r="L39"/>
  <c r="K41"/>
  <c r="F41"/>
  <c r="K40"/>
  <c r="F40"/>
  <c r="K39"/>
  <c r="F39"/>
  <c r="L37"/>
  <c r="K38"/>
  <c r="F38"/>
  <c r="K37"/>
  <c r="F37"/>
  <c r="L36"/>
  <c r="G36"/>
  <c r="H36" s="1"/>
  <c r="K36"/>
  <c r="F36"/>
  <c r="L34"/>
  <c r="K35"/>
  <c r="F35"/>
  <c r="K34"/>
  <c r="F34"/>
  <c r="L33"/>
  <c r="G33"/>
  <c r="H33" s="1"/>
  <c r="K33"/>
  <c r="F33"/>
  <c r="L31"/>
  <c r="K32"/>
  <c r="F32"/>
  <c r="K31"/>
  <c r="F31"/>
  <c r="G31" s="1"/>
  <c r="H31" s="1"/>
  <c r="L30"/>
  <c r="K30"/>
  <c r="F30"/>
  <c r="G30" s="1"/>
  <c r="H30" s="1"/>
  <c r="L29"/>
  <c r="K29"/>
  <c r="F29"/>
  <c r="G29" s="1"/>
  <c r="H29" s="1"/>
  <c r="L27"/>
  <c r="K28"/>
  <c r="F28"/>
  <c r="K27"/>
  <c r="F27"/>
  <c r="L20"/>
  <c r="K26"/>
  <c r="F26"/>
  <c r="K25"/>
  <c r="F25"/>
  <c r="K24"/>
  <c r="F24"/>
  <c r="K23"/>
  <c r="F23"/>
  <c r="K22"/>
  <c r="F22"/>
  <c r="K21"/>
  <c r="F21"/>
  <c r="K20"/>
  <c r="F20"/>
  <c r="L17"/>
  <c r="K19"/>
  <c r="F19"/>
  <c r="K18"/>
  <c r="F18"/>
  <c r="K17"/>
  <c r="F17"/>
  <c r="G17" s="1"/>
  <c r="H17" s="1"/>
  <c r="L16"/>
  <c r="K16"/>
  <c r="F16"/>
  <c r="G16" s="1"/>
  <c r="H16" s="1"/>
  <c r="L15"/>
  <c r="G15"/>
  <c r="H15" s="1"/>
  <c r="K15"/>
  <c r="F15"/>
  <c r="L13"/>
  <c r="K14"/>
  <c r="F14"/>
  <c r="K13"/>
  <c r="F13"/>
  <c r="G13" s="1"/>
  <c r="H13" s="1"/>
  <c r="L9"/>
  <c r="K12"/>
  <c r="F12"/>
  <c r="K11"/>
  <c r="F11"/>
  <c r="K10"/>
  <c r="F10"/>
  <c r="K9"/>
  <c r="F9"/>
  <c r="G9" s="1"/>
  <c r="H9" s="1"/>
  <c r="L8"/>
  <c r="K8"/>
  <c r="F8"/>
  <c r="G8" s="1"/>
  <c r="H8" s="1"/>
  <c r="L7"/>
  <c r="K7"/>
  <c r="F7"/>
  <c r="G7" s="1"/>
  <c r="H7" s="1"/>
  <c r="L5"/>
  <c r="K6"/>
  <c r="F6"/>
  <c r="K5"/>
  <c r="F5"/>
  <c r="G5" s="1"/>
  <c r="H5" s="1"/>
  <c r="L46" l="1"/>
  <c r="L45"/>
  <c r="G27"/>
  <c r="H27" s="1"/>
  <c r="G37"/>
  <c r="H37" s="1"/>
  <c r="G42"/>
  <c r="H42" s="1"/>
  <c r="G20"/>
  <c r="H20" s="1"/>
  <c r="G34"/>
  <c r="H34" s="1"/>
  <c r="G39"/>
  <c r="H39" s="1"/>
  <c r="G45"/>
  <c r="G46"/>
</calcChain>
</file>

<file path=xl/sharedStrings.xml><?xml version="1.0" encoding="utf-8"?>
<sst xmlns="http://schemas.openxmlformats.org/spreadsheetml/2006/main" count="79" uniqueCount="62">
  <si>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</si>
  <si>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</si>
  <si>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</si>
  <si>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</si>
  <si>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</si>
  <si>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</si>
  <si>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</si>
  <si>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</si>
  <si>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</si>
  <si>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</si>
  <si>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</si>
  <si>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</si>
  <si>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</si>
  <si>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</si>
  <si>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</si>
  <si>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</si>
  <si>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</si>
  <si>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</si>
  <si>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ST841_FA26</t>
  </si>
  <si>
    <t>6-04</t>
  </si>
  <si>
    <t>766362_V1</t>
  </si>
  <si>
    <t>766362_HO26</t>
  </si>
  <si>
    <t>6-05</t>
  </si>
  <si>
    <t>LPST840</t>
  </si>
  <si>
    <t>6-06</t>
  </si>
  <si>
    <t>777362_VMI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</si>
  <si>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</si>
  <si>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</si>
  <si>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</si>
  <si>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</si>
  <si>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</si>
  <si>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</si>
  <si>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</si>
  <si>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</si>
  <si>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</si>
  <si>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</si>
  <si>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</si>
  <si>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</si>
  <si>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</si>
  <si>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</si>
  <si>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MRLPMM_3PC_C127</t>
  </si>
  <si>
    <t>6-12</t>
  </si>
  <si>
    <t>ZC6HY000</t>
  </si>
  <si>
    <t>6-13</t>
  </si>
  <si>
    <t>6-14</t>
  </si>
  <si>
    <t>00GG4Z_C127IND</t>
  </si>
  <si>
    <t>6-15</t>
  </si>
  <si>
    <t>6-16</t>
  </si>
  <si>
    <t>6-17</t>
  </si>
  <si>
    <t>1182430_HO26_HT</t>
  </si>
  <si>
    <t>6-18</t>
  </si>
  <si>
    <t>910047_HO26DIS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</si>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</sst>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pane ySplit="4" topLeftCell="A13" activePane="bottomLeft" state="frozen"/>
      <selection pane="bottomLeft" activeCell="D5" sqref="D5:F44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46268</v>
      </c>
    </row>
    <row r="2" spans="1:12" ht="13.5" thickBot="1"/>
    <row r="3" spans="1:12" ht="13.5" thickTop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</row>
    <row r="4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>
      <c r="A5" s="9" t="s">
        <v>13</v>
      </c>
      <c r="B5" s="10" t="s">
        <v>14</v>
      </c>
      <c r="C5" s="11">
        <v>46265</v>
      </c>
      <c r="D5" s="37">
        <v>621</v>
      </c>
      <c r="E5" s="38">
        <v>9</v>
      </c>
      <c r="F5" s="39">
        <f>IF(E5=0,0,D5/E5)</f>
        <v>69</v>
      </c>
      <c r="G5" s="14">
        <f>IF(E5=0,0,SUMPRODUCT(F5:F6,J5:J6)/(I5*2.52))</f>
        <v>1.3781809019904259</v>
      </c>
      <c r="H5" s="15">
        <f>G5*I5*E5</f>
        <v>434.12698412698415</v>
      </c>
      <c r="I5" s="15">
        <v>35</v>
      </c>
      <c r="J5" s="12">
        <v>1.62</v>
      </c>
      <c r="K5" s="13">
        <f>2.52/J5*I5</f>
        <v>54.444444444444436</v>
      </c>
      <c r="L5" s="16">
        <f>E5*I5</f>
        <v>315</v>
      </c>
    </row>
    <row r="6" spans="1:12">
      <c r="A6" s="9"/>
      <c r="B6" s="10" t="s">
        <v>14</v>
      </c>
      <c r="C6" s="11">
        <v>46265</v>
      </c>
      <c r="D6" s="37">
        <v>53</v>
      </c>
      <c r="E6" s="38"/>
      <c r="F6" s="39">
        <f>IF(E5=0,0,D6/E5)</f>
        <v>5.8888888888888893</v>
      </c>
      <c r="G6" s="14"/>
      <c r="H6" s="15"/>
      <c r="I6" s="15"/>
      <c r="J6" s="12">
        <v>1.66</v>
      </c>
      <c r="K6" s="13">
        <f>2.52/J6*I5</f>
        <v>53.132530120481931</v>
      </c>
      <c r="L6" s="16"/>
    </row>
    <row r="7" spans="1:12">
      <c r="A7" s="17" t="s">
        <v>15</v>
      </c>
      <c r="B7" s="10" t="s">
        <v>16</v>
      </c>
      <c r="C7" s="11">
        <v>46265</v>
      </c>
      <c r="D7" s="37">
        <v>1520</v>
      </c>
      <c r="E7" s="40">
        <v>9</v>
      </c>
      <c r="F7" s="39">
        <f>IF(E7=0,0,D7/E7)</f>
        <v>168.88888888888889</v>
      </c>
      <c r="G7" s="18">
        <f>IF(E7=0,0,SUMPRODUCT(F7:F7,J7:J7)/(I7*2.52))</f>
        <v>1.557748224414891</v>
      </c>
      <c r="H7" s="19">
        <f>G7*I7*E7</f>
        <v>518.73015873015868</v>
      </c>
      <c r="I7" s="19">
        <v>37</v>
      </c>
      <c r="J7" s="12">
        <v>0.86</v>
      </c>
      <c r="K7" s="13">
        <f>2.52/J7*I7</f>
        <v>108.41860465116278</v>
      </c>
      <c r="L7" s="16">
        <f>E7*I7</f>
        <v>333</v>
      </c>
    </row>
    <row r="8" spans="1:12">
      <c r="A8" s="17" t="s">
        <v>17</v>
      </c>
      <c r="B8" s="10" t="s">
        <v>18</v>
      </c>
      <c r="C8" s="11">
        <v>46252</v>
      </c>
      <c r="D8" s="37">
        <v>636</v>
      </c>
      <c r="E8" s="40">
        <v>9</v>
      </c>
      <c r="F8" s="39">
        <f>IF(E8=0,0,D8/E8)</f>
        <v>70.666666666666671</v>
      </c>
      <c r="G8" s="18">
        <f>IF(E8=0,0,SUMPRODUCT(F8:F8,J8:J8)/(I8*2.52))</f>
        <v>1.3187473187473189</v>
      </c>
      <c r="H8" s="19">
        <f>G8*I8*E8</f>
        <v>439.14285714285717</v>
      </c>
      <c r="I8" s="19">
        <v>37</v>
      </c>
      <c r="J8" s="12">
        <v>1.74</v>
      </c>
      <c r="K8" s="13">
        <f>2.52/J8*I8</f>
        <v>53.586206896551722</v>
      </c>
      <c r="L8" s="16">
        <f>E8*I8</f>
        <v>333</v>
      </c>
    </row>
    <row r="9" spans="1:12">
      <c r="A9" s="9" t="s">
        <v>19</v>
      </c>
      <c r="B9" s="10" t="s">
        <v>20</v>
      </c>
      <c r="C9" s="11"/>
      <c r="D9" s="37">
        <v>0</v>
      </c>
      <c r="E9" s="38">
        <v>9</v>
      </c>
      <c r="F9" s="39">
        <f>IF(E9=0,0,D9/E9)</f>
        <v>0</v>
      </c>
      <c r="G9" s="14">
        <f>IF(E9=0,0,SUMPRODUCT(F9:F12,J9:J12)/(I9*2.52))</f>
        <v>1.6161120393576534</v>
      </c>
      <c r="H9" s="15">
        <f>G9*I9*E9</f>
        <v>552.71031746031747</v>
      </c>
      <c r="I9" s="15">
        <v>38</v>
      </c>
      <c r="J9" s="12">
        <v>0.85</v>
      </c>
      <c r="K9" s="13">
        <f>2.52/J9*I9</f>
        <v>112.65882352941176</v>
      </c>
      <c r="L9" s="16">
        <f>E9*I9</f>
        <v>342</v>
      </c>
    </row>
    <row r="10" spans="1:12">
      <c r="A10" s="9"/>
      <c r="B10" s="10" t="s">
        <v>20</v>
      </c>
      <c r="C10" s="11"/>
      <c r="D10" s="37">
        <v>0</v>
      </c>
      <c r="E10" s="38"/>
      <c r="F10" s="39">
        <f>IF(E9=0,0,D10/E9)</f>
        <v>0</v>
      </c>
      <c r="G10" s="14"/>
      <c r="H10" s="15"/>
      <c r="I10" s="15"/>
      <c r="J10" s="12">
        <v>0.88</v>
      </c>
      <c r="K10" s="13">
        <f>2.52/J10*I9</f>
        <v>108.81818181818183</v>
      </c>
      <c r="L10" s="16"/>
    </row>
    <row r="11" spans="1:12">
      <c r="A11" s="9"/>
      <c r="B11" s="10" t="s">
        <v>21</v>
      </c>
      <c r="C11" s="11">
        <v>46203</v>
      </c>
      <c r="D11" s="37">
        <v>1415</v>
      </c>
      <c r="E11" s="38"/>
      <c r="F11" s="39">
        <f>IF(E9=0,0,D11/E9)</f>
        <v>157.22222222222223</v>
      </c>
      <c r="G11" s="14"/>
      <c r="H11" s="15"/>
      <c r="I11" s="15"/>
      <c r="J11" s="12">
        <v>0.85</v>
      </c>
      <c r="K11" s="13">
        <f>2.52/J11*I9</f>
        <v>112.65882352941176</v>
      </c>
      <c r="L11" s="16"/>
    </row>
    <row r="12" spans="1:12">
      <c r="A12" s="9"/>
      <c r="B12" s="10" t="s">
        <v>21</v>
      </c>
      <c r="C12" s="11">
        <v>46203</v>
      </c>
      <c r="D12" s="37">
        <v>216</v>
      </c>
      <c r="E12" s="38"/>
      <c r="F12" s="39">
        <f>IF(E9=0,0,D12/E9)</f>
        <v>24</v>
      </c>
      <c r="G12" s="14"/>
      <c r="H12" s="15"/>
      <c r="I12" s="15"/>
      <c r="J12" s="12">
        <v>0.88</v>
      </c>
      <c r="K12" s="13">
        <f>2.52/J12*I9</f>
        <v>108.81818181818183</v>
      </c>
      <c r="L12" s="16"/>
    </row>
    <row r="13" spans="1:12">
      <c r="A13" s="9" t="s">
        <v>22</v>
      </c>
      <c r="B13" s="10" t="s">
        <v>23</v>
      </c>
      <c r="C13" s="11">
        <v>46254</v>
      </c>
      <c r="D13" s="37">
        <v>892</v>
      </c>
      <c r="E13" s="38">
        <v>9</v>
      </c>
      <c r="F13" s="39">
        <f>IF(E13=0,0,D13/E13)</f>
        <v>99.111111111111114</v>
      </c>
      <c r="G13" s="14">
        <f>IF(E13=0,0,SUMPRODUCT(F13:F14,J13:J14)/(I13*2.52))</f>
        <v>1.6556563366087174</v>
      </c>
      <c r="H13" s="15">
        <f>G13*I13*E13</f>
        <v>521.53174603174591</v>
      </c>
      <c r="I13" s="15">
        <v>35</v>
      </c>
      <c r="J13" s="12">
        <v>1.47</v>
      </c>
      <c r="K13" s="13">
        <f>2.52/J13*I13</f>
        <v>60.000000000000007</v>
      </c>
      <c r="L13" s="16">
        <f>E13*I13</f>
        <v>315</v>
      </c>
    </row>
    <row r="14" spans="1:12">
      <c r="A14" s="9"/>
      <c r="B14" s="10" t="s">
        <v>23</v>
      </c>
      <c r="C14" s="11">
        <v>46254</v>
      </c>
      <c r="D14" s="37">
        <v>2</v>
      </c>
      <c r="E14" s="38"/>
      <c r="F14" s="39">
        <f>IF(E13=0,0,D14/E13)</f>
        <v>0.22222222222222221</v>
      </c>
      <c r="G14" s="14"/>
      <c r="H14" s="15"/>
      <c r="I14" s="15"/>
      <c r="J14" s="12">
        <v>1.51</v>
      </c>
      <c r="K14" s="13">
        <f>2.52/J14*I13</f>
        <v>58.410596026490069</v>
      </c>
      <c r="L14" s="16"/>
    </row>
    <row r="15" spans="1:12">
      <c r="A15" s="17" t="s">
        <v>24</v>
      </c>
      <c r="B15" s="10" t="s">
        <v>25</v>
      </c>
      <c r="C15" s="11">
        <v>46122</v>
      </c>
      <c r="D15" s="37">
        <v>1750</v>
      </c>
      <c r="E15" s="40">
        <v>9</v>
      </c>
      <c r="F15" s="39">
        <f>IF(E15=0,0,D15/E15)</f>
        <v>194.44444444444446</v>
      </c>
      <c r="G15" s="18">
        <f>IF(E15=0,0,SUMPRODUCT(F15:F15,J15:J15)/(I15*2.52))</f>
        <v>2.1896896896896898</v>
      </c>
      <c r="H15" s="19">
        <f>G15*I15*E15</f>
        <v>729.16666666666663</v>
      </c>
      <c r="I15" s="19">
        <v>37</v>
      </c>
      <c r="J15" s="12">
        <v>1.05</v>
      </c>
      <c r="K15" s="13">
        <f>2.52/J15*I15</f>
        <v>88.8</v>
      </c>
      <c r="L15" s="16">
        <f>E15*I15</f>
        <v>333</v>
      </c>
    </row>
    <row r="16" spans="1:12">
      <c r="A16" s="17" t="s">
        <v>26</v>
      </c>
      <c r="B16" s="10" t="s">
        <v>27</v>
      </c>
      <c r="C16" s="11">
        <v>46255</v>
      </c>
      <c r="D16" s="37">
        <v>2016</v>
      </c>
      <c r="E16" s="40">
        <v>9</v>
      </c>
      <c r="F16" s="39">
        <f>IF(E16=0,0,D16/E16)</f>
        <v>224</v>
      </c>
      <c r="G16" s="18">
        <f>IF(E16=0,0,SUMPRODUCT(F16:F16,J16:J16)/(I16*2.52))</f>
        <v>1.7297297297297298</v>
      </c>
      <c r="H16" s="19">
        <f>G16*I16*E16</f>
        <v>576</v>
      </c>
      <c r="I16" s="19">
        <v>37</v>
      </c>
      <c r="J16" s="12">
        <v>0.72</v>
      </c>
      <c r="K16" s="13">
        <f>2.52/J16*I16</f>
        <v>129.5</v>
      </c>
      <c r="L16" s="16">
        <f>E16*I16</f>
        <v>333</v>
      </c>
    </row>
    <row r="17" spans="1:12">
      <c r="A17" s="9" t="s">
        <v>28</v>
      </c>
      <c r="B17" s="10" t="s">
        <v>20</v>
      </c>
      <c r="C17" s="11">
        <v>46179</v>
      </c>
      <c r="D17" s="37">
        <v>7</v>
      </c>
      <c r="E17" s="38">
        <v>8</v>
      </c>
      <c r="F17" s="39">
        <f>IF(E17=0,0,D17/E17)</f>
        <v>0.875</v>
      </c>
      <c r="G17" s="14">
        <f>IF(E17=0,0,SUMPRODUCT(F17:F19,J17:J19)/(I17*2.52))</f>
        <v>0.26057330827067671</v>
      </c>
      <c r="H17" s="15">
        <f>G17*I17*E17</f>
        <v>79.214285714285722</v>
      </c>
      <c r="I17" s="15">
        <v>38</v>
      </c>
      <c r="J17" s="12">
        <v>0.88</v>
      </c>
      <c r="K17" s="13">
        <f>2.52/J17*I17</f>
        <v>108.81818181818183</v>
      </c>
      <c r="L17" s="16">
        <f>E17*I17</f>
        <v>304</v>
      </c>
    </row>
    <row r="18" spans="1:12">
      <c r="A18" s="9"/>
      <c r="B18" s="10" t="s">
        <v>14</v>
      </c>
      <c r="C18" s="11">
        <v>46267</v>
      </c>
      <c r="D18" s="37">
        <v>102</v>
      </c>
      <c r="E18" s="38"/>
      <c r="F18" s="39">
        <f>IF(E17=0,0,D18/E17)</f>
        <v>12.75</v>
      </c>
      <c r="G18" s="14"/>
      <c r="H18" s="15"/>
      <c r="I18" s="15"/>
      <c r="J18" s="12">
        <v>1.62</v>
      </c>
      <c r="K18" s="13">
        <f>2.52/J18*I17</f>
        <v>59.1111111111111</v>
      </c>
      <c r="L18" s="16"/>
    </row>
    <row r="19" spans="1:12">
      <c r="A19" s="9"/>
      <c r="B19" s="10" t="s">
        <v>14</v>
      </c>
      <c r="C19" s="11">
        <v>46267</v>
      </c>
      <c r="D19" s="37">
        <v>17</v>
      </c>
      <c r="E19" s="38"/>
      <c r="F19" s="39">
        <f>IF(E17=0,0,D19/E17)</f>
        <v>2.125</v>
      </c>
      <c r="G19" s="14"/>
      <c r="H19" s="15"/>
      <c r="I19" s="15"/>
      <c r="J19" s="12">
        <v>1.66</v>
      </c>
      <c r="K19" s="13">
        <f>2.52/J19*I17</f>
        <v>57.686746987951807</v>
      </c>
      <c r="L19" s="16"/>
    </row>
    <row r="20" spans="1:12">
      <c r="A20" s="9" t="s">
        <v>29</v>
      </c>
      <c r="B20" s="12" t="s">
        <v>30</v>
      </c>
      <c r="C20" s="11">
        <v>46206</v>
      </c>
      <c r="D20" s="37">
        <v>70</v>
      </c>
      <c r="E20" s="38">
        <v>9</v>
      </c>
      <c r="F20" s="39">
        <f>IF(E20=0,0,D20/E20)</f>
        <v>7.7777777777777777</v>
      </c>
      <c r="G20" s="14">
        <f>IF(E20=0,0,SUMPRODUCT(F20:F26,J20:J26)/(I20*2.52))</f>
        <v>2.9657991324657993</v>
      </c>
      <c r="H20" s="15">
        <f>G20*I20*E20</f>
        <v>987.61111111111109</v>
      </c>
      <c r="I20" s="15">
        <v>37</v>
      </c>
      <c r="J20" s="12">
        <v>0.2</v>
      </c>
      <c r="K20" s="13">
        <f>2.52/J20*I20</f>
        <v>466.2</v>
      </c>
      <c r="L20" s="16">
        <f>E20*I20</f>
        <v>333</v>
      </c>
    </row>
    <row r="21" spans="1:12">
      <c r="A21" s="9"/>
      <c r="B21" s="12" t="s">
        <v>31</v>
      </c>
      <c r="C21" s="11">
        <v>46206</v>
      </c>
      <c r="D21" s="37">
        <v>456</v>
      </c>
      <c r="E21" s="38"/>
      <c r="F21" s="39">
        <f>IF(E20=0,0,D21/E20)</f>
        <v>50.666666666666664</v>
      </c>
      <c r="G21" s="14"/>
      <c r="H21" s="15"/>
      <c r="I21" s="15"/>
      <c r="J21" s="12">
        <v>0.2</v>
      </c>
      <c r="K21" s="13">
        <f>2.52/J21*I20</f>
        <v>466.2</v>
      </c>
      <c r="L21" s="16"/>
    </row>
    <row r="22" spans="1:12">
      <c r="A22" s="9"/>
      <c r="B22" s="12" t="s">
        <v>32</v>
      </c>
      <c r="C22" s="11">
        <v>46206</v>
      </c>
      <c r="D22" s="37">
        <v>3431</v>
      </c>
      <c r="E22" s="38"/>
      <c r="F22" s="39">
        <f>IF(E20=0,0,D22/E20)</f>
        <v>381.22222222222223</v>
      </c>
      <c r="G22" s="14"/>
      <c r="H22" s="15"/>
      <c r="I22" s="15"/>
      <c r="J22" s="12">
        <v>0.2</v>
      </c>
      <c r="K22" s="13">
        <f>2.52/J22*I20</f>
        <v>466.2</v>
      </c>
      <c r="L22" s="16"/>
    </row>
    <row r="23" spans="1:12">
      <c r="A23" s="9"/>
      <c r="B23" s="12" t="s">
        <v>33</v>
      </c>
      <c r="C23" s="11">
        <v>46206</v>
      </c>
      <c r="D23" s="37">
        <v>5</v>
      </c>
      <c r="E23" s="38"/>
      <c r="F23" s="39">
        <f>IF(E20=0,0,D23/E20)</f>
        <v>0.55555555555555558</v>
      </c>
      <c r="G23" s="14"/>
      <c r="H23" s="15"/>
      <c r="I23" s="15"/>
      <c r="J23" s="12">
        <v>0.2</v>
      </c>
      <c r="K23" s="13">
        <f>2.52/J23*I20</f>
        <v>466.2</v>
      </c>
      <c r="L23" s="16"/>
    </row>
    <row r="24" spans="1:12">
      <c r="A24" s="9"/>
      <c r="B24" s="12" t="s">
        <v>34</v>
      </c>
      <c r="C24" s="11">
        <v>46206</v>
      </c>
      <c r="D24" s="37">
        <v>1988</v>
      </c>
      <c r="E24" s="38"/>
      <c r="F24" s="39">
        <f>IF(E20=0,0,D24/E20)</f>
        <v>220.88888888888889</v>
      </c>
      <c r="G24" s="14"/>
      <c r="H24" s="15"/>
      <c r="I24" s="15"/>
      <c r="J24" s="12">
        <v>0.21</v>
      </c>
      <c r="K24" s="13">
        <f>2.52/J24*I20</f>
        <v>444</v>
      </c>
      <c r="L24" s="16"/>
    </row>
    <row r="25" spans="1:12">
      <c r="A25" s="9"/>
      <c r="B25" s="12" t="s">
        <v>35</v>
      </c>
      <c r="C25" s="11">
        <v>46206</v>
      </c>
      <c r="D25" s="37">
        <v>2025</v>
      </c>
      <c r="E25" s="38"/>
      <c r="F25" s="39">
        <f>IF(E20=0,0,D25/E20)</f>
        <v>225</v>
      </c>
      <c r="G25" s="14"/>
      <c r="H25" s="15"/>
      <c r="I25" s="15"/>
      <c r="J25" s="12">
        <v>0.21</v>
      </c>
      <c r="K25" s="13">
        <f>2.52/J25*I20</f>
        <v>444</v>
      </c>
      <c r="L25" s="16"/>
    </row>
    <row r="26" spans="1:12">
      <c r="A26" s="9"/>
      <c r="B26" s="12" t="s">
        <v>36</v>
      </c>
      <c r="C26" s="11">
        <v>46206</v>
      </c>
      <c r="D26" s="37">
        <v>4065</v>
      </c>
      <c r="E26" s="38"/>
      <c r="F26" s="39">
        <f>IF(E20=0,0,D26/E20)</f>
        <v>451.66666666666669</v>
      </c>
      <c r="G26" s="14"/>
      <c r="H26" s="15"/>
      <c r="I26" s="15"/>
      <c r="J26" s="12">
        <v>0.21</v>
      </c>
      <c r="K26" s="13">
        <f>2.52/J26*I20</f>
        <v>444</v>
      </c>
      <c r="L26" s="16"/>
    </row>
    <row r="27" spans="1:12">
      <c r="A27" s="9" t="s">
        <v>37</v>
      </c>
      <c r="B27" s="10" t="s">
        <v>38</v>
      </c>
      <c r="C27" s="11">
        <v>46260</v>
      </c>
      <c r="D27" s="37">
        <v>72</v>
      </c>
      <c r="E27" s="38">
        <v>9</v>
      </c>
      <c r="F27" s="39">
        <f>IF(E27=0,0,D27/E27)</f>
        <v>8</v>
      </c>
      <c r="G27" s="14">
        <f>IF(E27=0,0,SUMPRODUCT(F27:F28,J27:J28)/(I27*2.52))</f>
        <v>1.2009509509509511</v>
      </c>
      <c r="H27" s="15">
        <f>G27*I27*E27</f>
        <v>399.91666666666674</v>
      </c>
      <c r="I27" s="15">
        <v>37</v>
      </c>
      <c r="J27" s="12">
        <v>0.55000000000000004</v>
      </c>
      <c r="K27" s="13">
        <f>2.52/J27*I27</f>
        <v>169.5272727272727</v>
      </c>
      <c r="L27" s="16">
        <f>E27*I27</f>
        <v>333</v>
      </c>
    </row>
    <row r="28" spans="1:12">
      <c r="A28" s="9"/>
      <c r="B28" s="10" t="s">
        <v>38</v>
      </c>
      <c r="C28" s="11">
        <v>46260</v>
      </c>
      <c r="D28" s="37">
        <v>1641</v>
      </c>
      <c r="E28" s="38"/>
      <c r="F28" s="39">
        <f>IF(E27=0,0,D28/E27)</f>
        <v>182.33333333333334</v>
      </c>
      <c r="G28" s="14"/>
      <c r="H28" s="15"/>
      <c r="I28" s="15"/>
      <c r="J28" s="12">
        <v>0.59</v>
      </c>
      <c r="K28" s="13">
        <f>2.52/J28*I27</f>
        <v>158.03389830508476</v>
      </c>
      <c r="L28" s="16"/>
    </row>
    <row r="29" spans="1:12">
      <c r="A29" s="17" t="s">
        <v>39</v>
      </c>
      <c r="B29" s="10" t="s">
        <v>40</v>
      </c>
      <c r="C29" s="11">
        <v>46258</v>
      </c>
      <c r="D29" s="37">
        <v>1034</v>
      </c>
      <c r="E29" s="40">
        <v>9</v>
      </c>
      <c r="F29" s="39">
        <f>IF(E29=0,0,D29/E29)</f>
        <v>114.88888888888889</v>
      </c>
      <c r="G29" s="18">
        <f>IF(E29=0,0,SUMPRODUCT(F29:F29,J29:J29)/(I29*2.52))</f>
        <v>1.5804820693709585</v>
      </c>
      <c r="H29" s="19">
        <f>G29*I29*E29</f>
        <v>426.73015873015879</v>
      </c>
      <c r="I29" s="19">
        <v>30</v>
      </c>
      <c r="J29" s="12">
        <v>1.04</v>
      </c>
      <c r="K29" s="13">
        <f>2.52/J29*I29</f>
        <v>72.692307692307693</v>
      </c>
      <c r="L29" s="16">
        <f>E29*I29</f>
        <v>270</v>
      </c>
    </row>
    <row r="30" spans="1:12">
      <c r="A30" s="17" t="s">
        <v>41</v>
      </c>
      <c r="B30" s="10" t="s">
        <v>42</v>
      </c>
      <c r="C30" s="11">
        <v>46255</v>
      </c>
      <c r="D30" s="37">
        <v>1489</v>
      </c>
      <c r="E30" s="40">
        <v>9</v>
      </c>
      <c r="F30" s="39">
        <f>IF(E30=0,0,D30/E30)</f>
        <v>165.44444444444446</v>
      </c>
      <c r="G30" s="18">
        <f>IF(E30=0,0,SUMPRODUCT(F30:F30,J30:J30)/(I30*2.52))</f>
        <v>1.1402812587023115</v>
      </c>
      <c r="H30" s="19">
        <f>G30*I30*E30</f>
        <v>389.97619047619054</v>
      </c>
      <c r="I30" s="19">
        <v>38</v>
      </c>
      <c r="J30" s="12">
        <v>0.66</v>
      </c>
      <c r="K30" s="13">
        <f>2.52/J30*I30</f>
        <v>145.09090909090909</v>
      </c>
      <c r="L30" s="16">
        <f>E30*I30</f>
        <v>342</v>
      </c>
    </row>
    <row r="31" spans="1:12">
      <c r="A31" s="9" t="s">
        <v>43</v>
      </c>
      <c r="B31" s="10" t="s">
        <v>38</v>
      </c>
      <c r="C31" s="11">
        <v>46267</v>
      </c>
      <c r="D31" s="37">
        <v>683</v>
      </c>
      <c r="E31" s="38">
        <v>8</v>
      </c>
      <c r="F31" s="39">
        <f>IF(E31=0,0,D31/E31)</f>
        <v>85.375</v>
      </c>
      <c r="G31" s="14">
        <f>IF(E31=0,0,SUMPRODUCT(F31:F32,J31:J32)/(I31*2.52))</f>
        <v>1.0647045855379189</v>
      </c>
      <c r="H31" s="15">
        <f>G31*I31*E31</f>
        <v>306.63492063492066</v>
      </c>
      <c r="I31" s="15">
        <v>36</v>
      </c>
      <c r="J31" s="12">
        <v>0.55000000000000004</v>
      </c>
      <c r="K31" s="13">
        <f>2.52/J31*I31</f>
        <v>164.94545454545451</v>
      </c>
      <c r="L31" s="16">
        <f>E31*I31</f>
        <v>288</v>
      </c>
    </row>
    <row r="32" spans="1:12">
      <c r="A32" s="9"/>
      <c r="B32" s="10" t="s">
        <v>38</v>
      </c>
      <c r="C32" s="11">
        <v>46267</v>
      </c>
      <c r="D32" s="37">
        <v>673</v>
      </c>
      <c r="E32" s="38"/>
      <c r="F32" s="39">
        <f>IF(E31=0,0,D32/E31)</f>
        <v>84.125</v>
      </c>
      <c r="G32" s="14"/>
      <c r="H32" s="15"/>
      <c r="I32" s="15"/>
      <c r="J32" s="12">
        <v>0.59</v>
      </c>
      <c r="K32" s="13">
        <f>2.52/J32*I31</f>
        <v>153.76271186440678</v>
      </c>
      <c r="L32" s="16"/>
    </row>
    <row r="33" spans="1:12">
      <c r="A33" s="17" t="s">
        <v>44</v>
      </c>
      <c r="B33" s="10" t="s">
        <v>45</v>
      </c>
      <c r="C33" s="11">
        <v>46246</v>
      </c>
      <c r="D33" s="37">
        <v>810</v>
      </c>
      <c r="E33" s="40">
        <v>9</v>
      </c>
      <c r="F33" s="39">
        <f>IF(E33=0,0,D33/E33)</f>
        <v>90</v>
      </c>
      <c r="G33" s="18">
        <f>IF(E33=0,0,SUMPRODUCT(F33:F33,J33:J33)/(I33*2.52))</f>
        <v>1.4575289575289576</v>
      </c>
      <c r="H33" s="19">
        <f>G33*I33*E33</f>
        <v>485.35714285714289</v>
      </c>
      <c r="I33" s="19">
        <v>37</v>
      </c>
      <c r="J33" s="12">
        <v>1.51</v>
      </c>
      <c r="K33" s="13">
        <f>2.52/J33*I33</f>
        <v>61.748344370860927</v>
      </c>
      <c r="L33" s="16">
        <f>E33*I33</f>
        <v>333</v>
      </c>
    </row>
    <row r="34" spans="1:12">
      <c r="A34" s="9" t="s">
        <v>46</v>
      </c>
      <c r="B34" s="10" t="s">
        <v>23</v>
      </c>
      <c r="C34" s="11">
        <v>46253</v>
      </c>
      <c r="D34" s="37">
        <v>765</v>
      </c>
      <c r="E34" s="38">
        <v>9</v>
      </c>
      <c r="F34" s="39">
        <f>IF(E34=0,0,D34/E34)</f>
        <v>85</v>
      </c>
      <c r="G34" s="14">
        <f>IF(E34=0,0,SUMPRODUCT(F34:F35,J34:J35)/(I34*2.52))</f>
        <v>1.4309732664995822</v>
      </c>
      <c r="H34" s="15">
        <f>G34*I34*E34</f>
        <v>489.39285714285711</v>
      </c>
      <c r="I34" s="15">
        <v>38</v>
      </c>
      <c r="J34" s="12">
        <v>1.47</v>
      </c>
      <c r="K34" s="13">
        <f>2.52/J34*I34</f>
        <v>65.142857142857153</v>
      </c>
      <c r="L34" s="16">
        <f>E34*I34</f>
        <v>342</v>
      </c>
    </row>
    <row r="35" spans="1:12">
      <c r="A35" s="9"/>
      <c r="B35" s="10" t="s">
        <v>23</v>
      </c>
      <c r="C35" s="11">
        <v>46253</v>
      </c>
      <c r="D35" s="37">
        <v>72</v>
      </c>
      <c r="E35" s="38"/>
      <c r="F35" s="39">
        <f>IF(E34=0,0,D35/E34)</f>
        <v>8</v>
      </c>
      <c r="G35" s="14"/>
      <c r="H35" s="15"/>
      <c r="I35" s="15"/>
      <c r="J35" s="12">
        <v>1.51</v>
      </c>
      <c r="K35" s="13">
        <f>2.52/J35*I34</f>
        <v>63.41721854304636</v>
      </c>
      <c r="L35" s="16"/>
    </row>
    <row r="36" spans="1:12">
      <c r="A36" s="17" t="s">
        <v>47</v>
      </c>
      <c r="B36" s="10" t="s">
        <v>25</v>
      </c>
      <c r="C36" s="11">
        <v>46122</v>
      </c>
      <c r="D36" s="37">
        <v>1527</v>
      </c>
      <c r="E36" s="40">
        <v>9</v>
      </c>
      <c r="F36" s="39">
        <f>IF(E36=0,0,D36/E36)</f>
        <v>169.66666666666666</v>
      </c>
      <c r="G36" s="18">
        <f>IF(E36=0,0,SUMPRODUCT(F36:F36,J36:J36)/(I36*2.52))</f>
        <v>1.8126780626780628</v>
      </c>
      <c r="H36" s="19">
        <f>G36*I36*E36</f>
        <v>636.25</v>
      </c>
      <c r="I36" s="19">
        <v>39</v>
      </c>
      <c r="J36" s="12">
        <v>1.05</v>
      </c>
      <c r="K36" s="13">
        <f>2.52/J36*I36</f>
        <v>93.6</v>
      </c>
      <c r="L36" s="16">
        <f>E36*I36</f>
        <v>351</v>
      </c>
    </row>
    <row r="37" spans="1:12">
      <c r="A37" s="9" t="s">
        <v>48</v>
      </c>
      <c r="B37" s="10" t="s">
        <v>49</v>
      </c>
      <c r="C37" s="11">
        <v>46244</v>
      </c>
      <c r="D37" s="37">
        <v>87</v>
      </c>
      <c r="E37" s="38">
        <v>8</v>
      </c>
      <c r="F37" s="39">
        <f>IF(E37=0,0,D37/E37)</f>
        <v>10.875</v>
      </c>
      <c r="G37" s="14">
        <f>IF(E37=0,0,SUMPRODUCT(F37:F38,J37:J38)/(I37*2.52))</f>
        <v>0.90846908939014204</v>
      </c>
      <c r="H37" s="15">
        <f>G37*I37*E37</f>
        <v>276.17460317460319</v>
      </c>
      <c r="I37" s="15">
        <v>38</v>
      </c>
      <c r="J37" s="12">
        <v>0.78</v>
      </c>
      <c r="K37" s="13">
        <f>2.52/J37*I37</f>
        <v>122.76923076923077</v>
      </c>
      <c r="L37" s="16">
        <f>E37*I37</f>
        <v>304</v>
      </c>
    </row>
    <row r="38" spans="1:12">
      <c r="A38" s="9"/>
      <c r="B38" s="10" t="s">
        <v>40</v>
      </c>
      <c r="C38" s="11">
        <v>46267</v>
      </c>
      <c r="D38" s="37">
        <v>571</v>
      </c>
      <c r="E38" s="38"/>
      <c r="F38" s="39">
        <f>IF(E37=0,0,D38/E37)</f>
        <v>71.375</v>
      </c>
      <c r="G38" s="14"/>
      <c r="H38" s="15"/>
      <c r="I38" s="15"/>
      <c r="J38" s="12">
        <v>1.1000000000000001</v>
      </c>
      <c r="K38" s="13">
        <f>2.52/J38*I37</f>
        <v>87.054545454545448</v>
      </c>
      <c r="L38" s="16"/>
    </row>
    <row r="39" spans="1:12">
      <c r="A39" s="9" t="s">
        <v>50</v>
      </c>
      <c r="B39" s="10" t="s">
        <v>51</v>
      </c>
      <c r="C39" s="11">
        <v>46210</v>
      </c>
      <c r="D39" s="37">
        <v>23</v>
      </c>
      <c r="E39" s="38">
        <v>8</v>
      </c>
      <c r="F39" s="39">
        <f>IF(E39=0,0,D39/E39)</f>
        <v>2.875</v>
      </c>
      <c r="G39" s="14">
        <f>IF(E39=0,0,SUMPRODUCT(F39:F41,J39:J41)/(I39*2.52))</f>
        <v>1.052514097744361</v>
      </c>
      <c r="H39" s="15">
        <f>G39*I39*E39</f>
        <v>319.96428571428572</v>
      </c>
      <c r="I39" s="15">
        <v>38</v>
      </c>
      <c r="J39" s="12">
        <v>1.39</v>
      </c>
      <c r="K39" s="13">
        <f>2.52/J39*I39</f>
        <v>68.892086330935257</v>
      </c>
      <c r="L39" s="16">
        <f>E39*I39</f>
        <v>304</v>
      </c>
    </row>
    <row r="40" spans="1:12">
      <c r="A40" s="9"/>
      <c r="B40" s="10" t="s">
        <v>51</v>
      </c>
      <c r="C40" s="11">
        <v>46210</v>
      </c>
      <c r="D40" s="37">
        <v>5</v>
      </c>
      <c r="E40" s="38"/>
      <c r="F40" s="39">
        <f>IF(E39=0,0,D40/E39)</f>
        <v>0.625</v>
      </c>
      <c r="G40" s="14"/>
      <c r="H40" s="15"/>
      <c r="I40" s="15"/>
      <c r="J40" s="12">
        <v>1.52</v>
      </c>
      <c r="K40" s="13">
        <f>2.52/J40*I39</f>
        <v>63</v>
      </c>
      <c r="L40" s="16"/>
    </row>
    <row r="41" spans="1:12">
      <c r="A41" s="9"/>
      <c r="B41" s="10" t="s">
        <v>52</v>
      </c>
      <c r="C41" s="11">
        <v>46267</v>
      </c>
      <c r="D41" s="37">
        <v>983</v>
      </c>
      <c r="E41" s="38"/>
      <c r="F41" s="39">
        <f>IF(E39=0,0,D41/E39)</f>
        <v>122.875</v>
      </c>
      <c r="G41" s="14"/>
      <c r="H41" s="15"/>
      <c r="I41" s="15"/>
      <c r="J41" s="12">
        <v>0.78</v>
      </c>
      <c r="K41" s="13">
        <f>2.52/J41*I39</f>
        <v>122.76923076923077</v>
      </c>
      <c r="L41" s="16"/>
    </row>
    <row r="42" spans="1:12">
      <c r="A42" s="9" t="s">
        <v>53</v>
      </c>
      <c r="B42" s="10" t="s">
        <v>38</v>
      </c>
      <c r="C42" s="11">
        <v>46266</v>
      </c>
      <c r="D42" s="37">
        <v>902</v>
      </c>
      <c r="E42" s="38">
        <v>8</v>
      </c>
      <c r="F42" s="39">
        <f>IF(E42=0,0,D42/E42)</f>
        <v>112.75</v>
      </c>
      <c r="G42" s="14">
        <f>IF(E42=0,0,SUMPRODUCT(F42:F43,J42:J43)/(I42*2.52))</f>
        <v>0.859375</v>
      </c>
      <c r="H42" s="15">
        <f>G42*I42*E42</f>
        <v>261.25</v>
      </c>
      <c r="I42" s="15">
        <v>38</v>
      </c>
      <c r="J42" s="12">
        <v>0.55000000000000004</v>
      </c>
      <c r="K42" s="13">
        <f>2.52/J42*I42</f>
        <v>174.1090909090909</v>
      </c>
      <c r="L42" s="16">
        <f>E42*I42</f>
        <v>304</v>
      </c>
    </row>
    <row r="43" spans="1:12">
      <c r="A43" s="9"/>
      <c r="B43" s="10" t="s">
        <v>38</v>
      </c>
      <c r="C43" s="11">
        <v>46266</v>
      </c>
      <c r="D43" s="37">
        <v>275</v>
      </c>
      <c r="E43" s="38"/>
      <c r="F43" s="39">
        <f>IF(E42=0,0,D43/E42)</f>
        <v>34.375</v>
      </c>
      <c r="G43" s="14"/>
      <c r="H43" s="15"/>
      <c r="I43" s="15"/>
      <c r="J43" s="12">
        <v>0.59</v>
      </c>
      <c r="K43" s="13">
        <f>2.52/J43*I42</f>
        <v>162.30508474576271</v>
      </c>
      <c r="L43" s="16"/>
    </row>
    <row r="44" spans="1:12">
      <c r="A44" s="17" t="s">
        <v>54</v>
      </c>
      <c r="B44" s="10" t="s">
        <v>55</v>
      </c>
      <c r="C44" s="11">
        <v>46255</v>
      </c>
      <c r="D44" s="37">
        <v>1006</v>
      </c>
      <c r="E44" s="40">
        <v>9</v>
      </c>
      <c r="F44" s="39">
        <f>IF(E44=0,0,D44/E44)</f>
        <v>111.77777777777777</v>
      </c>
      <c r="G44" s="18">
        <f>IF(E44=0,0,SUMPRODUCT(F44:F44,J44:J44)/(I44*2.52))</f>
        <v>1.609498614260519</v>
      </c>
      <c r="H44" s="19">
        <f>G44*I44*E44</f>
        <v>506.99206349206349</v>
      </c>
      <c r="I44" s="19">
        <v>35</v>
      </c>
      <c r="J44" s="12">
        <v>1.27</v>
      </c>
      <c r="K44" s="13">
        <f>2.52/J44*I44</f>
        <v>69.448818897637793</v>
      </c>
      <c r="L44" s="16">
        <f>E44*I44</f>
        <v>315</v>
      </c>
    </row>
    <row r="45" spans="1:12">
      <c r="A45" s="20" t="s">
        <v>56</v>
      </c>
      <c r="B45" s="21"/>
      <c r="C45" s="22"/>
      <c r="D45" s="23">
        <f>SUM(D5:D44)</f>
        <v>33905</v>
      </c>
      <c r="E45" s="24">
        <f>SUM(E5:E44)</f>
        <v>175</v>
      </c>
      <c r="F45" s="25"/>
      <c r="G45" s="26">
        <f>SUM(H5:H44)/L45</f>
        <v>1.4527575876572301</v>
      </c>
      <c r="H45" s="23"/>
      <c r="I45" s="23">
        <f>SUM(I5:I44)</f>
        <v>735</v>
      </c>
      <c r="J45" s="23"/>
      <c r="K45" s="25"/>
      <c r="L45" s="27">
        <f>SUM(L5:L44)</f>
        <v>6427</v>
      </c>
    </row>
    <row r="46" spans="1:12" ht="13.5" thickBot="1">
      <c r="A46" s="28" t="s">
        <v>57</v>
      </c>
      <c r="B46" s="29"/>
      <c r="C46" s="30"/>
      <c r="D46" s="31">
        <f>SUMIF(A5:A45, "&lt;&gt;Summary", D5:D45)</f>
        <v>33905</v>
      </c>
      <c r="E46" s="32">
        <f>SUMIF(A5:A45, "&lt;&gt;Summary", E5:E45)</f>
        <v>175</v>
      </c>
      <c r="F46" s="33"/>
      <c r="G46" s="34">
        <f>SUMIF(A5:A45, "&lt;&gt;Summary", H5:H45)/L46</f>
        <v>1.4527575876572301</v>
      </c>
      <c r="H46" s="31"/>
      <c r="I46" s="31">
        <f>SUMIF(A5:A45, "&lt;&gt;Summary", I5:I45)</f>
        <v>735</v>
      </c>
      <c r="J46" s="31"/>
      <c r="K46" s="33"/>
      <c r="L46" s="35">
        <f>SUMIF(A5:A45, "&lt;&gt;Summary", L5:L45)</f>
        <v>6427</v>
      </c>
    </row>
    <row r="47" spans="1:12" ht="13.5" thickTop="1"/>
    <row r="48" spans="1:12">
      <c r="C48" s="36" t="s">
        <v>58</v>
      </c>
      <c r="D48" s="36">
        <f>SUM(H5:H14)/SUM(L5:L14)</f>
        <v>1.5056422854041902</v>
      </c>
    </row>
    <row r="49" spans="3:4">
      <c r="C49" s="36" t="s">
        <v>59</v>
      </c>
      <c r="D49" s="36">
        <f>SUM(H15:H28)/SUM(L15:L27)</f>
        <v>1.6943207397058255</v>
      </c>
    </row>
    <row r="50" spans="3:4">
      <c r="C50" s="36" t="s">
        <v>60</v>
      </c>
      <c r="D50" s="36">
        <f>SUM(H29:H35)/SUM(L29:L35)</f>
        <v>1.3321214411690605</v>
      </c>
    </row>
    <row r="51" spans="3:4">
      <c r="C51" s="36" t="s">
        <v>61</v>
      </c>
      <c r="D51" s="36">
        <f>SUM(H36:H44)/SUM(L36:L44)</f>
        <v>1.2678269660208823</v>
      </c>
    </row>
  </sheetData>
  <mergeCells count="69">
    <mergeCell ref="A46:C46"/>
    <mergeCell ref="A42:A43"/>
    <mergeCell ref="E42:E43"/>
    <mergeCell ref="G42:G43"/>
    <mergeCell ref="H42:H43"/>
    <mergeCell ref="I42:I43"/>
    <mergeCell ref="A45:C45"/>
    <mergeCell ref="A37:A38"/>
    <mergeCell ref="E37:E38"/>
    <mergeCell ref="G37:G38"/>
    <mergeCell ref="H37:H38"/>
    <mergeCell ref="I37:I38"/>
    <mergeCell ref="A39:A41"/>
    <mergeCell ref="E39:E41"/>
    <mergeCell ref="G39:G41"/>
    <mergeCell ref="H39:H41"/>
    <mergeCell ref="I39:I41"/>
    <mergeCell ref="A31:A32"/>
    <mergeCell ref="E31:E32"/>
    <mergeCell ref="G31:G32"/>
    <mergeCell ref="H31:H32"/>
    <mergeCell ref="I31:I32"/>
    <mergeCell ref="A34:A35"/>
    <mergeCell ref="E34:E35"/>
    <mergeCell ref="G34:G35"/>
    <mergeCell ref="H34:H35"/>
    <mergeCell ref="I34:I35"/>
    <mergeCell ref="A20:A26"/>
    <mergeCell ref="E20:E26"/>
    <mergeCell ref="G20:G26"/>
    <mergeCell ref="H20:H26"/>
    <mergeCell ref="I20:I26"/>
    <mergeCell ref="A27:A28"/>
    <mergeCell ref="E27:E28"/>
    <mergeCell ref="G27:G28"/>
    <mergeCell ref="H27:H28"/>
    <mergeCell ref="I27:I28"/>
    <mergeCell ref="A13:A14"/>
    <mergeCell ref="E13:E14"/>
    <mergeCell ref="G13:G14"/>
    <mergeCell ref="H13:H14"/>
    <mergeCell ref="I13:I14"/>
    <mergeCell ref="A17:A19"/>
    <mergeCell ref="E17:E19"/>
    <mergeCell ref="G17:G19"/>
    <mergeCell ref="H17:H19"/>
    <mergeCell ref="I17:I19"/>
    <mergeCell ref="A5:A6"/>
    <mergeCell ref="E5:E6"/>
    <mergeCell ref="G5:G6"/>
    <mergeCell ref="H5:H6"/>
    <mergeCell ref="I5:I6"/>
    <mergeCell ref="A9:A12"/>
    <mergeCell ref="E9:E12"/>
    <mergeCell ref="G9:G12"/>
    <mergeCell ref="H9:H12"/>
    <mergeCell ref="I9:I12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rintOptions horizontalCentered="1"/>
  <pageMargins left="0.2" right="0.2" top="1" bottom="0.2" header="0.2" footer="0.2"/>
  <pageSetup paperSize="9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2026-09-04T00:58:44Z</dcterms:created>
  <dcterms:modified xsi:type="dcterms:W3CDTF">2026-09-04T01:02:32Z</dcterms:modified>
</cp:coreProperties>
</file>