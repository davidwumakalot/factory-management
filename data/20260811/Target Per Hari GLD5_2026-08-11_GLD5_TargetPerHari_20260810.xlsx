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5" i="1"/>
  <c r="F6"/>
  <c r="F34" s="1"/>
  <c r="F7"/>
  <c r="F8"/>
  <c r="F9"/>
  <c r="F10"/>
  <c r="F11"/>
  <c r="F12"/>
  <c r="F14"/>
  <c r="F15"/>
  <c r="F16"/>
  <c r="F17"/>
  <c r="F18"/>
  <c r="F19"/>
  <c r="F20"/>
  <c r="F22"/>
  <c r="F23"/>
  <c r="F24"/>
  <c r="F25"/>
  <c r="F26"/>
  <c r="F27"/>
  <c r="F28"/>
  <c r="F29"/>
  <c r="F30"/>
  <c r="F31"/>
  <c r="F32"/>
  <c r="F33"/>
  <c r="E34"/>
  <c r="L36"/>
  <c r="G36"/>
  <c r="D36"/>
  <c r="L34"/>
  <c r="G34"/>
  <c r="D34"/>
  <c r="O31"/>
  <c r="N33"/>
  <c r="H33"/>
  <c r="N32"/>
  <c r="H32"/>
  <c r="N31"/>
  <c r="H31"/>
  <c r="O30"/>
  <c r="N30"/>
  <c r="H30"/>
  <c r="I30" s="1"/>
  <c r="K30" s="1"/>
  <c r="O29"/>
  <c r="N29"/>
  <c r="H29"/>
  <c r="I29" s="1"/>
  <c r="K29" s="1"/>
  <c r="O28"/>
  <c r="I28"/>
  <c r="K28" s="1"/>
  <c r="N28"/>
  <c r="H28"/>
  <c r="O27"/>
  <c r="K27"/>
  <c r="I27"/>
  <c r="N27"/>
  <c r="H27"/>
  <c r="O26"/>
  <c r="N26"/>
  <c r="H26"/>
  <c r="I26" s="1"/>
  <c r="K26" s="1"/>
  <c r="O25"/>
  <c r="N25"/>
  <c r="H25"/>
  <c r="I25" s="1"/>
  <c r="K25" s="1"/>
  <c r="O24"/>
  <c r="N24"/>
  <c r="H24"/>
  <c r="I24" s="1"/>
  <c r="K24" s="1"/>
  <c r="O22"/>
  <c r="N23"/>
  <c r="H23"/>
  <c r="N22"/>
  <c r="H22"/>
  <c r="O20"/>
  <c r="N21"/>
  <c r="H21"/>
  <c r="N20"/>
  <c r="H20"/>
  <c r="O19"/>
  <c r="N19"/>
  <c r="H19"/>
  <c r="I19" s="1"/>
  <c r="K19" s="1"/>
  <c r="O18"/>
  <c r="N18"/>
  <c r="H18"/>
  <c r="I18" s="1"/>
  <c r="K18" s="1"/>
  <c r="O16"/>
  <c r="N17"/>
  <c r="H17"/>
  <c r="N16"/>
  <c r="H16"/>
  <c r="O14"/>
  <c r="N15"/>
  <c r="H15"/>
  <c r="N14"/>
  <c r="H14"/>
  <c r="O12"/>
  <c r="N13"/>
  <c r="H13"/>
  <c r="N12"/>
  <c r="H12"/>
  <c r="I12" s="1"/>
  <c r="K12" s="1"/>
  <c r="O11"/>
  <c r="N11"/>
  <c r="H11"/>
  <c r="I11" s="1"/>
  <c r="K11" s="1"/>
  <c r="O10"/>
  <c r="N10"/>
  <c r="H10"/>
  <c r="I10" s="1"/>
  <c r="K10" s="1"/>
  <c r="O8"/>
  <c r="N9"/>
  <c r="H9"/>
  <c r="N8"/>
  <c r="H8"/>
  <c r="I8" s="1"/>
  <c r="K8" s="1"/>
  <c r="O7"/>
  <c r="N7"/>
  <c r="H7"/>
  <c r="I7" s="1"/>
  <c r="K7" s="1"/>
  <c r="O5"/>
  <c r="N6"/>
  <c r="H6"/>
  <c r="N5"/>
  <c r="H5"/>
  <c r="I5" s="1"/>
  <c r="K5" s="1"/>
  <c r="I16" l="1"/>
  <c r="K16" s="1"/>
  <c r="I14"/>
  <c r="K14" s="1"/>
  <c r="I20"/>
  <c r="K20" s="1"/>
  <c r="I36" s="1"/>
  <c r="D38"/>
  <c r="O36"/>
  <c r="I22"/>
  <c r="K22" s="1"/>
  <c r="I31"/>
  <c r="K31" s="1"/>
  <c r="D41" s="1"/>
  <c r="D39"/>
  <c r="O34"/>
  <c r="I34"/>
  <c r="D40" l="1"/>
</calcChain>
</file>

<file path=xl/sharedStrings.xml><?xml version="1.0" encoding="utf-8"?>
<sst xmlns="http://schemas.openxmlformats.org/spreadsheetml/2006/main" count="71" uniqueCount="59">
  <si>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</si>
  <si>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</si>
  <si>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</si>
  <si>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</si>
  <si>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</si>
  <si>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</si>
  <si>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</si>
  <si>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</si>
  <si>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</si>
  <si>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</si>
  <si>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</si>
  <si>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</si>
  <si>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</si>
  <si>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</si>
  <si>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</si>
  <si>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</si>
  <si>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</si>
  <si>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</si>
  <si>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</si>
  <si>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319260007</t>
  </si>
  <si>
    <t>5-04</t>
  </si>
  <si>
    <t>5-05</t>
  </si>
  <si>
    <t>W98Z8Z_C426IND</t>
  </si>
  <si>
    <t>5-06</t>
  </si>
  <si>
    <t>5-07</t>
  </si>
  <si>
    <t>LK864_FA26</t>
  </si>
  <si>
    <t>LK881_FA26</t>
  </si>
  <si>
    <t>5-08</t>
  </si>
  <si>
    <t>319260006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</si>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</sst>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9" width="8.7109375" style="1" customWidth="1"/>
    <col min="10" max="10" width="14.7109375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46244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56</v>
      </c>
      <c r="F3" s="41" t="s">
        <v>57</v>
      </c>
      <c r="G3" s="35" t="s">
        <v>5</v>
      </c>
      <c r="H3" s="35" t="s">
        <v>6</v>
      </c>
      <c r="I3" s="35" t="s">
        <v>7</v>
      </c>
      <c r="J3" s="41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2"/>
      <c r="G4" s="36"/>
      <c r="H4" s="36"/>
      <c r="I4" s="36"/>
      <c r="J4" s="52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46220</v>
      </c>
      <c r="D5" s="5">
        <v>1</v>
      </c>
      <c r="E5" s="53">
        <v>1</v>
      </c>
      <c r="F5" s="53">
        <f>D5-E5</f>
        <v>0</v>
      </c>
      <c r="G5" s="32">
        <v>8</v>
      </c>
      <c r="H5" s="6">
        <f>IF(G5=0,0,D5/G5)</f>
        <v>0.125</v>
      </c>
      <c r="I5" s="33">
        <f>IF(G5=0,0,SUMPRODUCT(H5:H6,M5:M6)/(L5*2.52))</f>
        <v>1.350721256971257</v>
      </c>
      <c r="J5" s="56">
        <v>1.3</v>
      </c>
      <c r="K5" s="34">
        <f>I5*L5*G5</f>
        <v>399.81349206349205</v>
      </c>
      <c r="L5" s="34">
        <v>37</v>
      </c>
      <c r="M5" s="5">
        <v>1.81</v>
      </c>
      <c r="N5" s="6">
        <f>2.52/M5*L5</f>
        <v>51.513812154696133</v>
      </c>
      <c r="O5" s="7">
        <f>G5*L5</f>
        <v>296</v>
      </c>
    </row>
    <row r="6" spans="1:15">
      <c r="A6" s="31"/>
      <c r="B6" s="3" t="s">
        <v>15</v>
      </c>
      <c r="C6" s="4">
        <v>46238</v>
      </c>
      <c r="D6" s="5">
        <v>1156</v>
      </c>
      <c r="E6" s="53">
        <v>1164</v>
      </c>
      <c r="F6" s="53">
        <f t="shared" ref="F6:F11" si="0">D6-E6</f>
        <v>-8</v>
      </c>
      <c r="G6" s="32"/>
      <c r="H6" s="6">
        <f>IF(G5=0,0,D6/G5)</f>
        <v>144.5</v>
      </c>
      <c r="I6" s="33"/>
      <c r="J6" s="57"/>
      <c r="K6" s="34"/>
      <c r="L6" s="34"/>
      <c r="M6" s="5">
        <v>0.87</v>
      </c>
      <c r="N6" s="6">
        <f>2.52/M6*L5</f>
        <v>107.17241379310344</v>
      </c>
      <c r="O6" s="7"/>
    </row>
    <row r="7" spans="1:15">
      <c r="A7" s="8" t="s">
        <v>16</v>
      </c>
      <c r="B7" s="3" t="s">
        <v>15</v>
      </c>
      <c r="C7" s="4">
        <v>46198</v>
      </c>
      <c r="D7" s="5">
        <v>1504</v>
      </c>
      <c r="E7" s="53">
        <v>1500</v>
      </c>
      <c r="F7" s="53">
        <f t="shared" si="0"/>
        <v>4</v>
      </c>
      <c r="G7" s="9">
        <v>8</v>
      </c>
      <c r="H7" s="6">
        <f>IF(G7=0,0,D7/G7)</f>
        <v>188</v>
      </c>
      <c r="I7" s="10">
        <f>IF(G7=0,0,SUMPRODUCT(H7:H7,M7:M7)/(L7*2.52))</f>
        <v>1.7541827541827544</v>
      </c>
      <c r="J7" s="44">
        <v>1.75</v>
      </c>
      <c r="K7" s="11">
        <f>I7*L7*G7</f>
        <v>519.2380952380953</v>
      </c>
      <c r="L7" s="11">
        <v>37</v>
      </c>
      <c r="M7" s="5">
        <v>0.87</v>
      </c>
      <c r="N7" s="6">
        <f>2.52/M7*L7</f>
        <v>107.17241379310344</v>
      </c>
      <c r="O7" s="7">
        <f>G7*L7</f>
        <v>296</v>
      </c>
    </row>
    <row r="8" spans="1:15">
      <c r="A8" s="31" t="s">
        <v>17</v>
      </c>
      <c r="B8" s="3" t="s">
        <v>18</v>
      </c>
      <c r="C8" s="4"/>
      <c r="D8" s="5">
        <v>0</v>
      </c>
      <c r="E8" s="53">
        <v>0</v>
      </c>
      <c r="F8" s="53">
        <f t="shared" si="0"/>
        <v>0</v>
      </c>
      <c r="G8" s="32">
        <v>8</v>
      </c>
      <c r="H8" s="6">
        <f>IF(G8=0,0,D8/G8)</f>
        <v>0</v>
      </c>
      <c r="I8" s="33">
        <f>IF(G8=0,0,SUMPRODUCT(H8:H9,M8:M9)/(L8*2.52))</f>
        <v>0.59825450450450457</v>
      </c>
      <c r="J8" s="56">
        <v>0.6</v>
      </c>
      <c r="K8" s="34">
        <f>I8*L8*G8</f>
        <v>177.08333333333334</v>
      </c>
      <c r="L8" s="34">
        <v>37</v>
      </c>
      <c r="M8" s="5">
        <v>1.64</v>
      </c>
      <c r="N8" s="6">
        <f>2.52/M8*L8</f>
        <v>56.853658536585364</v>
      </c>
      <c r="O8" s="7">
        <f>G8*L8</f>
        <v>296</v>
      </c>
    </row>
    <row r="9" spans="1:15">
      <c r="A9" s="31"/>
      <c r="B9" s="3" t="s">
        <v>19</v>
      </c>
      <c r="C9" s="4">
        <v>46230</v>
      </c>
      <c r="D9" s="5">
        <v>525</v>
      </c>
      <c r="E9" s="53">
        <v>522</v>
      </c>
      <c r="F9" s="53">
        <f t="shared" si="0"/>
        <v>3</v>
      </c>
      <c r="G9" s="32"/>
      <c r="H9" s="6">
        <f>IF(G8=0,0,D9/G8)</f>
        <v>65.625</v>
      </c>
      <c r="I9" s="33"/>
      <c r="J9" s="57"/>
      <c r="K9" s="34"/>
      <c r="L9" s="34"/>
      <c r="M9" s="5">
        <v>0.85</v>
      </c>
      <c r="N9" s="6">
        <f>2.52/M9*L8</f>
        <v>109.69411764705883</v>
      </c>
      <c r="O9" s="7"/>
    </row>
    <row r="10" spans="1:15">
      <c r="A10" s="8" t="s">
        <v>20</v>
      </c>
      <c r="B10" s="3" t="s">
        <v>15</v>
      </c>
      <c r="C10" s="4">
        <v>46219</v>
      </c>
      <c r="D10" s="5">
        <v>1561</v>
      </c>
      <c r="E10" s="53">
        <v>1560</v>
      </c>
      <c r="F10" s="53">
        <f t="shared" si="0"/>
        <v>1</v>
      </c>
      <c r="G10" s="9">
        <v>8</v>
      </c>
      <c r="H10" s="6">
        <f>IF(G10=0,0,D10/G10)</f>
        <v>195.125</v>
      </c>
      <c r="I10" s="10">
        <f>IF(G10=0,0,SUMPRODUCT(H10:H10,M10:M10)/(L10*2.52))</f>
        <v>1.9813112745098036</v>
      </c>
      <c r="J10" s="44">
        <v>1.85</v>
      </c>
      <c r="K10" s="11">
        <f>I10*L10*G10</f>
        <v>538.91666666666663</v>
      </c>
      <c r="L10" s="11">
        <v>34</v>
      </c>
      <c r="M10" s="5">
        <v>0.87</v>
      </c>
      <c r="N10" s="6">
        <f>2.52/M10*L10</f>
        <v>98.482758620689651</v>
      </c>
      <c r="O10" s="7">
        <f>G10*L10</f>
        <v>272</v>
      </c>
    </row>
    <row r="11" spans="1:15">
      <c r="A11" s="8" t="s">
        <v>21</v>
      </c>
      <c r="B11" s="3" t="s">
        <v>22</v>
      </c>
      <c r="C11" s="4">
        <v>46213</v>
      </c>
      <c r="D11" s="5">
        <v>709</v>
      </c>
      <c r="E11" s="53">
        <v>724</v>
      </c>
      <c r="F11" s="53">
        <f t="shared" si="0"/>
        <v>-15</v>
      </c>
      <c r="G11" s="9">
        <v>8</v>
      </c>
      <c r="H11" s="6">
        <f>IF(G11=0,0,D11/G11)</f>
        <v>88.625</v>
      </c>
      <c r="I11" s="10">
        <f>IF(G11=0,0,SUMPRODUCT(H11:H11,M11:M11)/(L11*2.52))</f>
        <v>2.0019078144078146</v>
      </c>
      <c r="J11" s="44">
        <v>2.1</v>
      </c>
      <c r="K11" s="11">
        <f>I11*L11*G11</f>
        <v>624.59523809523819</v>
      </c>
      <c r="L11" s="11">
        <v>39</v>
      </c>
      <c r="M11" s="5">
        <v>2.2200000000000002</v>
      </c>
      <c r="N11" s="6">
        <f>2.52/M11*L11</f>
        <v>44.270270270270267</v>
      </c>
      <c r="O11" s="7">
        <f>G11*L11</f>
        <v>312</v>
      </c>
    </row>
    <row r="12" spans="1:15">
      <c r="A12" s="31" t="s">
        <v>23</v>
      </c>
      <c r="B12" s="3" t="s">
        <v>22</v>
      </c>
      <c r="C12" s="4">
        <v>46207</v>
      </c>
      <c r="D12" s="5">
        <v>494</v>
      </c>
      <c r="E12" s="54">
        <v>726</v>
      </c>
      <c r="F12" s="54">
        <f>D12+D13-E12</f>
        <v>-17</v>
      </c>
      <c r="G12" s="32">
        <v>8</v>
      </c>
      <c r="H12" s="6">
        <f>IF(G12=0,0,D12/G12)</f>
        <v>61.75</v>
      </c>
      <c r="I12" s="33">
        <f>IF(G12=0,0,SUMPRODUCT(H12:H13,M12:M13)/(L12*2.52))</f>
        <v>2.0770415622389304</v>
      </c>
      <c r="J12" s="56">
        <v>2.0499999999999998</v>
      </c>
      <c r="K12" s="34">
        <f>I12*L12*G12</f>
        <v>631.42063492063482</v>
      </c>
      <c r="L12" s="34">
        <v>38</v>
      </c>
      <c r="M12" s="5">
        <v>2.2200000000000002</v>
      </c>
      <c r="N12" s="6">
        <f>2.52/M12*L12</f>
        <v>43.13513513513513</v>
      </c>
      <c r="O12" s="7">
        <f>G12*L12</f>
        <v>304</v>
      </c>
    </row>
    <row r="13" spans="1:15">
      <c r="A13" s="31"/>
      <c r="B13" s="3" t="s">
        <v>22</v>
      </c>
      <c r="C13" s="4">
        <v>46207</v>
      </c>
      <c r="D13" s="5">
        <v>215</v>
      </c>
      <c r="E13" s="55"/>
      <c r="F13" s="55"/>
      <c r="G13" s="32"/>
      <c r="H13" s="6">
        <f>IF(G12=0,0,D13/G12)</f>
        <v>26.875</v>
      </c>
      <c r="I13" s="33"/>
      <c r="J13" s="57"/>
      <c r="K13" s="34"/>
      <c r="L13" s="34"/>
      <c r="M13" s="5">
        <v>2.2999999999999998</v>
      </c>
      <c r="N13" s="6">
        <f>2.52/M13*L12</f>
        <v>41.634782608695659</v>
      </c>
      <c r="O13" s="7"/>
    </row>
    <row r="14" spans="1:15">
      <c r="A14" s="31" t="s">
        <v>24</v>
      </c>
      <c r="B14" s="3" t="s">
        <v>25</v>
      </c>
      <c r="C14" s="4"/>
      <c r="D14" s="5">
        <v>0</v>
      </c>
      <c r="E14" s="53">
        <v>0</v>
      </c>
      <c r="F14" s="53">
        <f t="shared" ref="F14:F19" si="1">D14-E14</f>
        <v>0</v>
      </c>
      <c r="G14" s="32">
        <v>8</v>
      </c>
      <c r="H14" s="6">
        <f>IF(G14=0,0,D14/G14)</f>
        <v>0</v>
      </c>
      <c r="I14" s="33">
        <f>IF(G14=0,0,SUMPRODUCT(H14:H15,M14:M15)/(L14*2.52))</f>
        <v>1.1132561132561132</v>
      </c>
      <c r="J14" s="56">
        <v>1.62</v>
      </c>
      <c r="K14" s="34">
        <f>I14*L14*G14</f>
        <v>329.52380952380952</v>
      </c>
      <c r="L14" s="34">
        <v>37</v>
      </c>
      <c r="M14" s="5">
        <v>1.22</v>
      </c>
      <c r="N14" s="6">
        <f>2.52/M14*L14</f>
        <v>76.426229508196727</v>
      </c>
      <c r="O14" s="7">
        <f>G14*L14</f>
        <v>296</v>
      </c>
    </row>
    <row r="15" spans="1:15">
      <c r="A15" s="31"/>
      <c r="B15" s="3" t="s">
        <v>26</v>
      </c>
      <c r="C15" s="4">
        <v>46237</v>
      </c>
      <c r="D15" s="5">
        <v>480</v>
      </c>
      <c r="E15" s="53">
        <v>480</v>
      </c>
      <c r="F15" s="53">
        <f t="shared" si="1"/>
        <v>0</v>
      </c>
      <c r="G15" s="32"/>
      <c r="H15" s="6">
        <f>IF(G14=0,0,D15/G14)</f>
        <v>60</v>
      </c>
      <c r="I15" s="33"/>
      <c r="J15" s="57"/>
      <c r="K15" s="34"/>
      <c r="L15" s="34"/>
      <c r="M15" s="5">
        <v>1.73</v>
      </c>
      <c r="N15" s="6">
        <f>2.52/M15*L14</f>
        <v>53.895953757225428</v>
      </c>
      <c r="O15" s="7"/>
    </row>
    <row r="16" spans="1:15">
      <c r="A16" s="31" t="s">
        <v>27</v>
      </c>
      <c r="B16" s="3" t="s">
        <v>28</v>
      </c>
      <c r="C16" s="4">
        <v>46232</v>
      </c>
      <c r="D16" s="5">
        <v>32</v>
      </c>
      <c r="E16" s="53">
        <v>32</v>
      </c>
      <c r="F16" s="53">
        <f t="shared" si="1"/>
        <v>0</v>
      </c>
      <c r="G16" s="32">
        <v>8</v>
      </c>
      <c r="H16" s="6">
        <f>IF(G16=0,0,D16/G16)</f>
        <v>4</v>
      </c>
      <c r="I16" s="33">
        <f>IF(G16=0,0,SUMPRODUCT(H16:H17,M16:M17)/(L16*2.52))</f>
        <v>1.0265246449456975</v>
      </c>
      <c r="J16" s="56">
        <v>1</v>
      </c>
      <c r="K16" s="34">
        <f>I16*L16*G16</f>
        <v>312.06349206349205</v>
      </c>
      <c r="L16" s="34">
        <v>38</v>
      </c>
      <c r="M16" s="5">
        <v>0.65</v>
      </c>
      <c r="N16" s="6">
        <f>2.52/M16*L16</f>
        <v>147.32307692307691</v>
      </c>
      <c r="O16" s="7">
        <f>G16*L16</f>
        <v>304</v>
      </c>
    </row>
    <row r="17" spans="1:15">
      <c r="A17" s="31"/>
      <c r="B17" s="3" t="s">
        <v>29</v>
      </c>
      <c r="C17" s="4">
        <v>46239</v>
      </c>
      <c r="D17" s="5">
        <v>440</v>
      </c>
      <c r="E17" s="53">
        <v>440</v>
      </c>
      <c r="F17" s="53">
        <f t="shared" si="1"/>
        <v>0</v>
      </c>
      <c r="G17" s="32"/>
      <c r="H17" s="6">
        <f>IF(G16=0,0,D17/G16)</f>
        <v>55</v>
      </c>
      <c r="I17" s="33"/>
      <c r="J17" s="57"/>
      <c r="K17" s="34"/>
      <c r="L17" s="34"/>
      <c r="M17" s="5">
        <v>1.74</v>
      </c>
      <c r="N17" s="6">
        <f>2.52/M17*L16</f>
        <v>55.03448275862069</v>
      </c>
      <c r="O17" s="7"/>
    </row>
    <row r="18" spans="1:15">
      <c r="A18" s="8" t="s">
        <v>30</v>
      </c>
      <c r="B18" s="3" t="s">
        <v>29</v>
      </c>
      <c r="C18" s="4">
        <v>46240</v>
      </c>
      <c r="D18" s="5">
        <v>433</v>
      </c>
      <c r="E18" s="53">
        <v>440</v>
      </c>
      <c r="F18" s="53">
        <f t="shared" si="1"/>
        <v>-7</v>
      </c>
      <c r="G18" s="9">
        <v>8</v>
      </c>
      <c r="H18" s="6">
        <f>IF(G18=0,0,D18/G18)</f>
        <v>54.125</v>
      </c>
      <c r="I18" s="10">
        <f>IF(G18=0,0,SUMPRODUCT(H18:H18,M18:M18)/(L18*2.52))</f>
        <v>1.0100546975546976</v>
      </c>
      <c r="J18" s="44">
        <v>1</v>
      </c>
      <c r="K18" s="11">
        <f>I18*L18*G18</f>
        <v>298.97619047619048</v>
      </c>
      <c r="L18" s="11">
        <v>37</v>
      </c>
      <c r="M18" s="5">
        <v>1.74</v>
      </c>
      <c r="N18" s="6">
        <f>2.52/M18*L18</f>
        <v>53.586206896551722</v>
      </c>
      <c r="O18" s="7">
        <f>G18*L18</f>
        <v>296</v>
      </c>
    </row>
    <row r="19" spans="1:15">
      <c r="A19" s="8" t="s">
        <v>31</v>
      </c>
      <c r="B19" s="3" t="s">
        <v>32</v>
      </c>
      <c r="C19" s="4">
        <v>46157</v>
      </c>
      <c r="D19" s="5">
        <v>1100</v>
      </c>
      <c r="E19" s="53">
        <v>1183</v>
      </c>
      <c r="F19" s="53">
        <f t="shared" si="1"/>
        <v>-83</v>
      </c>
      <c r="G19" s="9">
        <v>8</v>
      </c>
      <c r="H19" s="6">
        <f>IF(G19=0,0,D19/G19)</f>
        <v>137.5</v>
      </c>
      <c r="I19" s="10">
        <f>IF(G19=0,0,SUMPRODUCT(H19:H19,M19:M19)/(L19*2.52))</f>
        <v>1.6788766788766789</v>
      </c>
      <c r="J19" s="44">
        <v>1.97</v>
      </c>
      <c r="K19" s="11">
        <f>I19*L19*G19</f>
        <v>523.80952380952385</v>
      </c>
      <c r="L19" s="11">
        <v>39</v>
      </c>
      <c r="M19" s="5">
        <v>1.2</v>
      </c>
      <c r="N19" s="6">
        <f>2.52/M19*L19</f>
        <v>81.900000000000006</v>
      </c>
      <c r="O19" s="7">
        <f>G19*L19</f>
        <v>312</v>
      </c>
    </row>
    <row r="20" spans="1:15">
      <c r="A20" s="31" t="s">
        <v>33</v>
      </c>
      <c r="B20" s="3" t="s">
        <v>34</v>
      </c>
      <c r="C20" s="4">
        <v>46154</v>
      </c>
      <c r="D20" s="5">
        <v>723</v>
      </c>
      <c r="E20" s="54">
        <v>733</v>
      </c>
      <c r="F20" s="54">
        <f>D20+D21-E20</f>
        <v>0</v>
      </c>
      <c r="G20" s="32">
        <v>8</v>
      </c>
      <c r="H20" s="6">
        <f>IF(G20=0,0,D20/G20)</f>
        <v>90.375</v>
      </c>
      <c r="I20" s="33">
        <f>IF(G20=0,0,SUMPRODUCT(H20:H21,M20:M21)/(L20*2.52))</f>
        <v>2.2304328529657478</v>
      </c>
      <c r="J20" s="56">
        <v>2.2999999999999998</v>
      </c>
      <c r="K20" s="34">
        <f>I20*L20*G20</f>
        <v>678.05158730158735</v>
      </c>
      <c r="L20" s="34">
        <v>38</v>
      </c>
      <c r="M20" s="5">
        <v>2.33</v>
      </c>
      <c r="N20" s="6">
        <f>2.52/M20*L20</f>
        <v>41.098712446351925</v>
      </c>
      <c r="O20" s="7">
        <f>G20*L20</f>
        <v>304</v>
      </c>
    </row>
    <row r="21" spans="1:15">
      <c r="A21" s="31"/>
      <c r="B21" s="3" t="s">
        <v>34</v>
      </c>
      <c r="C21" s="4">
        <v>46154</v>
      </c>
      <c r="D21" s="5">
        <v>10</v>
      </c>
      <c r="E21" s="55"/>
      <c r="F21" s="55"/>
      <c r="G21" s="32"/>
      <c r="H21" s="6">
        <f>IF(G20=0,0,D21/G20)</f>
        <v>1.25</v>
      </c>
      <c r="I21" s="33"/>
      <c r="J21" s="57"/>
      <c r="K21" s="34"/>
      <c r="L21" s="34"/>
      <c r="M21" s="5">
        <v>2.41</v>
      </c>
      <c r="N21" s="6">
        <f>2.52/M21*L20</f>
        <v>39.73443983402489</v>
      </c>
      <c r="O21" s="7"/>
    </row>
    <row r="22" spans="1:15">
      <c r="A22" s="31" t="s">
        <v>35</v>
      </c>
      <c r="B22" s="3" t="s">
        <v>36</v>
      </c>
      <c r="C22" s="4">
        <v>46221</v>
      </c>
      <c r="D22" s="5">
        <v>0</v>
      </c>
      <c r="E22" s="53">
        <v>0</v>
      </c>
      <c r="F22" s="53">
        <f t="shared" ref="F22:F33" si="2">D22-E22</f>
        <v>0</v>
      </c>
      <c r="G22" s="32">
        <v>8</v>
      </c>
      <c r="H22" s="6">
        <f>IF(G22=0,0,D22/G22)</f>
        <v>0</v>
      </c>
      <c r="I22" s="33">
        <f>IF(G22=0,0,SUMPRODUCT(H22:H23,M22:M23)/(L22*2.52))</f>
        <v>1.0870334620334621</v>
      </c>
      <c r="J22" s="56">
        <v>1.1000000000000001</v>
      </c>
      <c r="K22" s="34">
        <f>I22*L22*G22</f>
        <v>321.76190476190476</v>
      </c>
      <c r="L22" s="34">
        <v>37</v>
      </c>
      <c r="M22" s="5">
        <v>1.1000000000000001</v>
      </c>
      <c r="N22" s="6">
        <f>2.52/M22*L22</f>
        <v>84.763636363636351</v>
      </c>
      <c r="O22" s="7">
        <f>G22*L22</f>
        <v>296</v>
      </c>
    </row>
    <row r="23" spans="1:15">
      <c r="A23" s="31"/>
      <c r="B23" s="3" t="s">
        <v>37</v>
      </c>
      <c r="C23" s="4">
        <v>46235</v>
      </c>
      <c r="D23" s="5">
        <v>699</v>
      </c>
      <c r="E23" s="53">
        <v>702</v>
      </c>
      <c r="F23" s="53">
        <f t="shared" si="2"/>
        <v>-3</v>
      </c>
      <c r="G23" s="32"/>
      <c r="H23" s="6">
        <f>IF(G22=0,0,D23/G22)</f>
        <v>87.375</v>
      </c>
      <c r="I23" s="33"/>
      <c r="J23" s="57"/>
      <c r="K23" s="34"/>
      <c r="L23" s="34"/>
      <c r="M23" s="5">
        <v>1.1599999999999999</v>
      </c>
      <c r="N23" s="6">
        <f>2.52/M23*L22</f>
        <v>80.379310344827587</v>
      </c>
      <c r="O23" s="7"/>
    </row>
    <row r="24" spans="1:15">
      <c r="A24" s="8" t="s">
        <v>38</v>
      </c>
      <c r="B24" s="3" t="s">
        <v>39</v>
      </c>
      <c r="C24" s="4">
        <v>46220</v>
      </c>
      <c r="D24" s="5">
        <v>775</v>
      </c>
      <c r="E24" s="53">
        <v>775</v>
      </c>
      <c r="F24" s="53">
        <f t="shared" si="2"/>
        <v>0</v>
      </c>
      <c r="G24" s="9">
        <v>8</v>
      </c>
      <c r="H24" s="6">
        <f>IF(G24=0,0,D24/G24)</f>
        <v>96.875</v>
      </c>
      <c r="I24" s="10">
        <f t="shared" ref="I24:I30" si="3">IF(G24=0,0,SUMPRODUCT(H24:H24,M24:M24)/(L24*2.52))</f>
        <v>1.557412494912495</v>
      </c>
      <c r="J24" s="44">
        <v>1.52</v>
      </c>
      <c r="K24" s="11">
        <f t="shared" ref="K24:K31" si="4">I24*L24*G24</f>
        <v>485.91269841269843</v>
      </c>
      <c r="L24" s="11">
        <v>39</v>
      </c>
      <c r="M24" s="5">
        <v>1.58</v>
      </c>
      <c r="N24" s="6">
        <f t="shared" ref="N24:N31" si="5">2.52/M24*L24</f>
        <v>62.202531645569614</v>
      </c>
      <c r="O24" s="7">
        <f t="shared" ref="O24:O31" si="6">G24*L24</f>
        <v>312</v>
      </c>
    </row>
    <row r="25" spans="1:15">
      <c r="A25" s="8" t="s">
        <v>40</v>
      </c>
      <c r="B25" s="3" t="s">
        <v>18</v>
      </c>
      <c r="C25" s="4">
        <v>46203</v>
      </c>
      <c r="D25" s="5">
        <v>850</v>
      </c>
      <c r="E25" s="53">
        <v>850</v>
      </c>
      <c r="F25" s="53">
        <f t="shared" si="2"/>
        <v>0</v>
      </c>
      <c r="G25" s="9">
        <v>8</v>
      </c>
      <c r="H25" s="6">
        <f>IF(G25=0,0,D25/G25)</f>
        <v>106.25</v>
      </c>
      <c r="I25" s="10">
        <f t="shared" si="3"/>
        <v>1.8196532999164576</v>
      </c>
      <c r="J25" s="44">
        <v>1.9</v>
      </c>
      <c r="K25" s="11">
        <f t="shared" si="4"/>
        <v>553.17460317460313</v>
      </c>
      <c r="L25" s="11">
        <v>38</v>
      </c>
      <c r="M25" s="5">
        <v>1.64</v>
      </c>
      <c r="N25" s="6">
        <f t="shared" si="5"/>
        <v>58.390243902439025</v>
      </c>
      <c r="O25" s="7">
        <f t="shared" si="6"/>
        <v>304</v>
      </c>
    </row>
    <row r="26" spans="1:15">
      <c r="A26" s="8" t="s">
        <v>41</v>
      </c>
      <c r="B26" s="3" t="s">
        <v>15</v>
      </c>
      <c r="C26" s="4">
        <v>46209</v>
      </c>
      <c r="D26" s="5">
        <v>1680</v>
      </c>
      <c r="E26" s="53">
        <v>1680</v>
      </c>
      <c r="F26" s="53">
        <f t="shared" si="2"/>
        <v>0</v>
      </c>
      <c r="G26" s="9">
        <v>8</v>
      </c>
      <c r="H26" s="6">
        <f>IF(G26=0,0,D26/G26)</f>
        <v>210</v>
      </c>
      <c r="I26" s="10">
        <f t="shared" si="3"/>
        <v>1.9078947368421051</v>
      </c>
      <c r="J26" s="44">
        <v>1.8</v>
      </c>
      <c r="K26" s="11">
        <f t="shared" si="4"/>
        <v>580</v>
      </c>
      <c r="L26" s="11">
        <v>38</v>
      </c>
      <c r="M26" s="5">
        <v>0.87</v>
      </c>
      <c r="N26" s="6">
        <f t="shared" si="5"/>
        <v>110.06896551724138</v>
      </c>
      <c r="O26" s="7">
        <f t="shared" si="6"/>
        <v>304</v>
      </c>
    </row>
    <row r="27" spans="1:15">
      <c r="A27" s="8" t="s">
        <v>42</v>
      </c>
      <c r="B27" s="3" t="s">
        <v>15</v>
      </c>
      <c r="C27" s="4">
        <v>46209</v>
      </c>
      <c r="D27" s="5">
        <v>1600</v>
      </c>
      <c r="E27" s="53">
        <v>1600</v>
      </c>
      <c r="F27" s="53">
        <f t="shared" si="2"/>
        <v>0</v>
      </c>
      <c r="G27" s="9">
        <v>8</v>
      </c>
      <c r="H27" s="6">
        <f>IF(G27=0,0,D27/G27)</f>
        <v>200</v>
      </c>
      <c r="I27" s="10">
        <f t="shared" si="3"/>
        <v>1.8170426065162906</v>
      </c>
      <c r="J27" s="44">
        <v>1.7</v>
      </c>
      <c r="K27" s="11">
        <f t="shared" si="4"/>
        <v>552.38095238095229</v>
      </c>
      <c r="L27" s="11">
        <v>38</v>
      </c>
      <c r="M27" s="5">
        <v>0.87</v>
      </c>
      <c r="N27" s="6">
        <f t="shared" si="5"/>
        <v>110.06896551724138</v>
      </c>
      <c r="O27" s="7">
        <f t="shared" si="6"/>
        <v>304</v>
      </c>
    </row>
    <row r="28" spans="1:15">
      <c r="A28" s="8" t="s">
        <v>43</v>
      </c>
      <c r="B28" s="3" t="s">
        <v>22</v>
      </c>
      <c r="C28" s="4">
        <v>46155</v>
      </c>
      <c r="D28" s="5">
        <v>770</v>
      </c>
      <c r="E28" s="53">
        <v>770</v>
      </c>
      <c r="F28" s="53">
        <f t="shared" si="2"/>
        <v>0</v>
      </c>
      <c r="G28" s="9">
        <v>8</v>
      </c>
      <c r="H28" s="6">
        <f>IF(G28=0,0,D28/G28)</f>
        <v>96.25</v>
      </c>
      <c r="I28" s="10">
        <f t="shared" si="3"/>
        <v>2.119791666666667</v>
      </c>
      <c r="J28" s="44">
        <v>2.11</v>
      </c>
      <c r="K28" s="11">
        <f t="shared" si="4"/>
        <v>678.33333333333348</v>
      </c>
      <c r="L28" s="11">
        <v>40</v>
      </c>
      <c r="M28" s="5">
        <v>2.2200000000000002</v>
      </c>
      <c r="N28" s="6">
        <f t="shared" si="5"/>
        <v>45.405405405405403</v>
      </c>
      <c r="O28" s="7">
        <f t="shared" si="6"/>
        <v>320</v>
      </c>
    </row>
    <row r="29" spans="1:15">
      <c r="A29" s="8" t="s">
        <v>44</v>
      </c>
      <c r="B29" s="3" t="s">
        <v>15</v>
      </c>
      <c r="C29" s="4">
        <v>46219</v>
      </c>
      <c r="D29" s="5">
        <v>1528</v>
      </c>
      <c r="E29" s="53">
        <v>1526</v>
      </c>
      <c r="F29" s="53">
        <f t="shared" si="2"/>
        <v>2</v>
      </c>
      <c r="G29" s="9">
        <v>8</v>
      </c>
      <c r="H29" s="6">
        <f>IF(G29=0,0,D29/G29)</f>
        <v>191</v>
      </c>
      <c r="I29" s="10">
        <f t="shared" si="3"/>
        <v>1.831679894179894</v>
      </c>
      <c r="J29" s="44">
        <v>1.62</v>
      </c>
      <c r="K29" s="11">
        <f t="shared" si="4"/>
        <v>527.5238095238094</v>
      </c>
      <c r="L29" s="11">
        <v>36</v>
      </c>
      <c r="M29" s="5">
        <v>0.87</v>
      </c>
      <c r="N29" s="6">
        <f t="shared" si="5"/>
        <v>104.27586206896552</v>
      </c>
      <c r="O29" s="7">
        <f t="shared" si="6"/>
        <v>288</v>
      </c>
    </row>
    <row r="30" spans="1:15">
      <c r="A30" s="8" t="s">
        <v>45</v>
      </c>
      <c r="B30" s="3" t="s">
        <v>15</v>
      </c>
      <c r="C30" s="4">
        <v>46192</v>
      </c>
      <c r="D30" s="5">
        <v>1767</v>
      </c>
      <c r="E30" s="53">
        <v>1760</v>
      </c>
      <c r="F30" s="53">
        <f t="shared" si="2"/>
        <v>7</v>
      </c>
      <c r="G30" s="9">
        <v>8</v>
      </c>
      <c r="H30" s="6">
        <f>IF(G30=0,0,D30/G30)</f>
        <v>220.875</v>
      </c>
      <c r="I30" s="10">
        <f t="shared" si="3"/>
        <v>1.9552426739926738</v>
      </c>
      <c r="J30" s="44">
        <v>1.78</v>
      </c>
      <c r="K30" s="11">
        <f t="shared" si="4"/>
        <v>610.03571428571422</v>
      </c>
      <c r="L30" s="11">
        <v>39</v>
      </c>
      <c r="M30" s="5">
        <v>0.87</v>
      </c>
      <c r="N30" s="6">
        <f t="shared" si="5"/>
        <v>112.96551724137932</v>
      </c>
      <c r="O30" s="7">
        <f t="shared" si="6"/>
        <v>312</v>
      </c>
    </row>
    <row r="31" spans="1:15">
      <c r="A31" s="31" t="s">
        <v>46</v>
      </c>
      <c r="B31" s="3" t="s">
        <v>47</v>
      </c>
      <c r="C31" s="4">
        <v>46219</v>
      </c>
      <c r="D31" s="5">
        <v>8</v>
      </c>
      <c r="E31" s="53">
        <v>0</v>
      </c>
      <c r="F31" s="53">
        <f t="shared" si="2"/>
        <v>8</v>
      </c>
      <c r="G31" s="32">
        <v>8</v>
      </c>
      <c r="H31" s="6">
        <f>IF(G31=0,0,D31/G31)</f>
        <v>1</v>
      </c>
      <c r="I31" s="33">
        <f>IF(G31=0,0,SUMPRODUCT(H31:H33,M31:M33)/(L31*2.52))</f>
        <v>1.7021396396396398</v>
      </c>
      <c r="J31" s="56">
        <v>1.5</v>
      </c>
      <c r="K31" s="34">
        <f t="shared" si="4"/>
        <v>503.83333333333337</v>
      </c>
      <c r="L31" s="34">
        <v>37</v>
      </c>
      <c r="M31" s="5">
        <v>2.09</v>
      </c>
      <c r="N31" s="6">
        <f t="shared" si="5"/>
        <v>44.612440191387563</v>
      </c>
      <c r="O31" s="7">
        <f t="shared" si="6"/>
        <v>296</v>
      </c>
    </row>
    <row r="32" spans="1:15">
      <c r="A32" s="31"/>
      <c r="B32" s="3" t="s">
        <v>48</v>
      </c>
      <c r="C32" s="4">
        <v>46237</v>
      </c>
      <c r="D32" s="5">
        <v>1586</v>
      </c>
      <c r="E32" s="53">
        <v>1582</v>
      </c>
      <c r="F32" s="53">
        <f t="shared" si="2"/>
        <v>4</v>
      </c>
      <c r="G32" s="32"/>
      <c r="H32" s="6">
        <f>IF(G31=0,0,D32/G31)</f>
        <v>198.25</v>
      </c>
      <c r="I32" s="33"/>
      <c r="J32" s="58"/>
      <c r="K32" s="34"/>
      <c r="L32" s="34"/>
      <c r="M32" s="5">
        <v>0.79</v>
      </c>
      <c r="N32" s="6">
        <f>2.52/M32*L31</f>
        <v>118.02531645569618</v>
      </c>
      <c r="O32" s="7"/>
    </row>
    <row r="33" spans="1:15">
      <c r="A33" s="31"/>
      <c r="B33" s="3" t="s">
        <v>49</v>
      </c>
      <c r="C33" s="4">
        <v>46244</v>
      </c>
      <c r="D33" s="5">
        <v>0</v>
      </c>
      <c r="E33" s="53">
        <v>0</v>
      </c>
      <c r="F33" s="53">
        <f t="shared" si="2"/>
        <v>0</v>
      </c>
      <c r="G33" s="32"/>
      <c r="H33" s="6">
        <f>IF(G31=0,0,D33/G31)</f>
        <v>0</v>
      </c>
      <c r="I33" s="33"/>
      <c r="J33" s="57"/>
      <c r="K33" s="34"/>
      <c r="L33" s="34"/>
      <c r="M33" s="5">
        <v>0.79</v>
      </c>
      <c r="N33" s="6">
        <f>2.52/M33*L31</f>
        <v>118.02531645569618</v>
      </c>
      <c r="O33" s="7"/>
    </row>
    <row r="34" spans="1:15">
      <c r="A34" s="25" t="s">
        <v>50</v>
      </c>
      <c r="B34" s="26"/>
      <c r="C34" s="27"/>
      <c r="D34" s="12">
        <f>SUM(D5:D33)</f>
        <v>20646</v>
      </c>
      <c r="E34" s="45">
        <f>SUM(E5:E33)</f>
        <v>20750</v>
      </c>
      <c r="F34" s="45">
        <f>F6+F11+F12+F18+F19+F23</f>
        <v>-133</v>
      </c>
      <c r="G34" s="13">
        <f>SUM(G5:G33)</f>
        <v>160</v>
      </c>
      <c r="H34" s="14"/>
      <c r="I34" s="15">
        <f>SUM(K5:K33)/O34</f>
        <v>1.6345365890933621</v>
      </c>
      <c r="J34" s="46"/>
      <c r="K34" s="12"/>
      <c r="L34" s="12">
        <f>SUM(L5:L33)</f>
        <v>753</v>
      </c>
      <c r="M34" s="12"/>
      <c r="N34" s="14"/>
      <c r="O34" s="16">
        <f>SUM(O5:O33)</f>
        <v>6024</v>
      </c>
    </row>
    <row r="35" spans="1:15">
      <c r="A35" s="17"/>
      <c r="B35" s="5"/>
      <c r="C35" s="4"/>
      <c r="D35" s="5"/>
      <c r="E35" s="43"/>
      <c r="F35" s="43"/>
      <c r="G35" s="18"/>
      <c r="H35" s="6"/>
      <c r="I35" s="19"/>
      <c r="J35" s="47"/>
      <c r="K35" s="5"/>
      <c r="L35" s="5"/>
      <c r="M35" s="5"/>
      <c r="N35" s="6"/>
      <c r="O35" s="7"/>
    </row>
    <row r="36" spans="1:15" ht="13.5" thickBot="1">
      <c r="A36" s="28" t="s">
        <v>51</v>
      </c>
      <c r="B36" s="29"/>
      <c r="C36" s="30"/>
      <c r="D36" s="20">
        <f>SUMIF(A5:A35, "&lt;&gt;Summary", D5:D35)</f>
        <v>20646</v>
      </c>
      <c r="E36" s="48"/>
      <c r="F36" s="48"/>
      <c r="G36" s="21">
        <f>SUMIF(A5:A35, "&lt;&gt;Summary", G5:G35)</f>
        <v>160</v>
      </c>
      <c r="H36" s="22"/>
      <c r="I36" s="23">
        <f>SUMIF(A5:A35, "&lt;&gt;Summary", K5:K35)/O36</f>
        <v>1.6345365890933621</v>
      </c>
      <c r="J36" s="49"/>
      <c r="K36" s="20"/>
      <c r="L36" s="20">
        <f>SUMIF(A5:A35, "&lt;&gt;Summary", L5:L35)</f>
        <v>753</v>
      </c>
      <c r="M36" s="20"/>
      <c r="N36" s="22"/>
      <c r="O36" s="24">
        <f>SUMIF(A5:A35, "&lt;&gt;Summary", O5:O35)</f>
        <v>6024</v>
      </c>
    </row>
    <row r="37" spans="1:15" ht="13.5" thickTop="1"/>
    <row r="38" spans="1:15">
      <c r="C38" s="50" t="s">
        <v>52</v>
      </c>
      <c r="D38" s="51">
        <f>SUM(K5:K11)/SUM(O5:O11)</f>
        <v>1.5350861585576261</v>
      </c>
      <c r="E38" s="51"/>
      <c r="F38" s="51"/>
    </row>
    <row r="39" spans="1:15">
      <c r="C39" s="50" t="s">
        <v>53</v>
      </c>
      <c r="D39" s="51">
        <f>SUM(K12:K19)/SUM(O12:O19)</f>
        <v>1.3861069119005627</v>
      </c>
      <c r="E39" s="51"/>
      <c r="F39" s="51"/>
    </row>
    <row r="40" spans="1:15">
      <c r="C40" s="50" t="s">
        <v>54</v>
      </c>
      <c r="D40" s="51">
        <f>SUM(K20:K26)/SUM(O20:O26)</f>
        <v>1.7229610484544693</v>
      </c>
      <c r="E40" s="51"/>
      <c r="F40" s="51"/>
    </row>
    <row r="41" spans="1:15">
      <c r="C41" s="50" t="s">
        <v>55</v>
      </c>
      <c r="D41" s="51">
        <f>SUM(K27:K33)/SUM(O27:O33)</f>
        <v>1.8895441729323308</v>
      </c>
      <c r="E41" s="51"/>
      <c r="F41" s="51"/>
    </row>
  </sheetData>
  <mergeCells count="6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8:A9"/>
    <mergeCell ref="G8:G9"/>
    <mergeCell ref="I8:I9"/>
    <mergeCell ref="K8:K9"/>
    <mergeCell ref="L8:L9"/>
    <mergeCell ref="J8:J9"/>
    <mergeCell ref="A5:A6"/>
    <mergeCell ref="G5:G6"/>
    <mergeCell ref="I5:I6"/>
    <mergeCell ref="K5:K6"/>
    <mergeCell ref="L5:L6"/>
    <mergeCell ref="J5:J6"/>
    <mergeCell ref="A14:A15"/>
    <mergeCell ref="G14:G15"/>
    <mergeCell ref="I14:I15"/>
    <mergeCell ref="K14:K15"/>
    <mergeCell ref="L14:L15"/>
    <mergeCell ref="J14:J15"/>
    <mergeCell ref="A12:A13"/>
    <mergeCell ref="G12:G13"/>
    <mergeCell ref="I12:I13"/>
    <mergeCell ref="K12:K13"/>
    <mergeCell ref="L12:L13"/>
    <mergeCell ref="E12:E13"/>
    <mergeCell ref="F12:F13"/>
    <mergeCell ref="J12:J13"/>
    <mergeCell ref="A20:A21"/>
    <mergeCell ref="G20:G21"/>
    <mergeCell ref="I20:I21"/>
    <mergeCell ref="K20:K21"/>
    <mergeCell ref="L20:L21"/>
    <mergeCell ref="E20:E21"/>
    <mergeCell ref="F20:F21"/>
    <mergeCell ref="J20:J21"/>
    <mergeCell ref="A16:A17"/>
    <mergeCell ref="G16:G17"/>
    <mergeCell ref="I16:I17"/>
    <mergeCell ref="K16:K17"/>
    <mergeCell ref="L16:L17"/>
    <mergeCell ref="J16:J17"/>
    <mergeCell ref="K22:K23"/>
    <mergeCell ref="L22:L23"/>
    <mergeCell ref="A31:A33"/>
    <mergeCell ref="G31:G33"/>
    <mergeCell ref="I31:I33"/>
    <mergeCell ref="K31:K33"/>
    <mergeCell ref="L31:L33"/>
    <mergeCell ref="J22:J23"/>
    <mergeCell ref="J31:J33"/>
    <mergeCell ref="A34:C34"/>
    <mergeCell ref="A36:C36"/>
    <mergeCell ref="A22:A23"/>
    <mergeCell ref="G22:G23"/>
    <mergeCell ref="I22:I23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2026-08-11T01:01:45Z</cp:lastPrinted>
  <dcterms:created xsi:type="dcterms:W3CDTF">2026-08-11T00:45:59Z</dcterms:created>
  <dcterms:modified xsi:type="dcterms:W3CDTF">2026-08-11T01:01:47Z</dcterms:modified>
</cp:coreProperties>
</file>