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2" i="1"/>
  <c r="E32"/>
  <c r="D32"/>
  <c r="I30"/>
  <c r="E30"/>
  <c r="D30"/>
  <c r="L28"/>
  <c r="K29"/>
  <c r="F29"/>
  <c r="K28"/>
  <c r="F28"/>
  <c r="G28" s="1"/>
  <c r="H28" s="1"/>
  <c r="L27"/>
  <c r="K27"/>
  <c r="F27"/>
  <c r="G27" s="1"/>
  <c r="H27" s="1"/>
  <c r="L26"/>
  <c r="K26"/>
  <c r="F26"/>
  <c r="G26" s="1"/>
  <c r="H26" s="1"/>
  <c r="L25"/>
  <c r="K25"/>
  <c r="F25"/>
  <c r="G25" s="1"/>
  <c r="H25" s="1"/>
  <c r="L24"/>
  <c r="K24"/>
  <c r="F24"/>
  <c r="G24" s="1"/>
  <c r="H24" s="1"/>
  <c r="L23"/>
  <c r="K23"/>
  <c r="F23"/>
  <c r="G23" s="1"/>
  <c r="H23" s="1"/>
  <c r="L22"/>
  <c r="K22"/>
  <c r="F22"/>
  <c r="G22" s="1"/>
  <c r="H22" s="1"/>
  <c r="L21"/>
  <c r="K21"/>
  <c r="F21"/>
  <c r="G21" s="1"/>
  <c r="H21" s="1"/>
  <c r="L20"/>
  <c r="K20"/>
  <c r="F20"/>
  <c r="G20" s="1"/>
  <c r="H20" s="1"/>
  <c r="L18"/>
  <c r="K19"/>
  <c r="F19"/>
  <c r="K18"/>
  <c r="F18"/>
  <c r="L17"/>
  <c r="K17"/>
  <c r="F17"/>
  <c r="G17" s="1"/>
  <c r="H17" s="1"/>
  <c r="L16"/>
  <c r="K16"/>
  <c r="F16"/>
  <c r="G16" s="1"/>
  <c r="H16" s="1"/>
  <c r="L14"/>
  <c r="K15"/>
  <c r="F15"/>
  <c r="K14"/>
  <c r="F14"/>
  <c r="G14" s="1"/>
  <c r="H14" s="1"/>
  <c r="L13"/>
  <c r="K13"/>
  <c r="F13"/>
  <c r="G13" s="1"/>
  <c r="H13" s="1"/>
  <c r="L11"/>
  <c r="K12"/>
  <c r="F12"/>
  <c r="K11"/>
  <c r="F11"/>
  <c r="G11" s="1"/>
  <c r="H11" s="1"/>
  <c r="L10"/>
  <c r="K10"/>
  <c r="F10"/>
  <c r="G10" s="1"/>
  <c r="H10" s="1"/>
  <c r="L8"/>
  <c r="K9"/>
  <c r="F9"/>
  <c r="K8"/>
  <c r="F8"/>
  <c r="G8" s="1"/>
  <c r="H8" s="1"/>
  <c r="L7"/>
  <c r="K7"/>
  <c r="F7"/>
  <c r="G7" s="1"/>
  <c r="H7" s="1"/>
  <c r="L6"/>
  <c r="K6"/>
  <c r="F6"/>
  <c r="G6" s="1"/>
  <c r="H6" s="1"/>
  <c r="L5"/>
  <c r="K5"/>
  <c r="F5"/>
  <c r="G5" s="1"/>
  <c r="H5" s="1"/>
  <c r="L32" l="1"/>
  <c r="G32" s="1"/>
  <c r="L30"/>
  <c r="G18"/>
  <c r="H18" s="1"/>
  <c r="D36" s="1"/>
  <c r="D37"/>
  <c r="D35"/>
  <c r="D34"/>
  <c r="G30" l="1"/>
</calcChain>
</file>

<file path=xl/sharedStrings.xml><?xml version="1.0" encoding="utf-8"?>
<sst xmlns="http://schemas.openxmlformats.org/spreadsheetml/2006/main" count="64" uniqueCount="53">
  <si>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</si>
  <si>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</si>
  <si>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</si>
  <si>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</si>
  <si>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</si>
  <si>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</si>
  <si>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</si>
  <si>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</si>
  <si>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</si>
  <si>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</si>
  <si>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</si>
  <si>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</si>
  <si>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</si>
  <si>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</si>
  <si>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K86W2L_C426IND</t>
  </si>
  <si>
    <t>5-02</t>
  </si>
  <si>
    <t>5-03</t>
  </si>
  <si>
    <t>LK880_FA26</t>
  </si>
  <si>
    <t>5-04</t>
  </si>
  <si>
    <t>P68YG3_C127</t>
  </si>
  <si>
    <t>5-05</t>
  </si>
  <si>
    <t>W98Z8Z_C426IND</t>
  </si>
  <si>
    <t>5-06</t>
  </si>
  <si>
    <t>5-07</t>
  </si>
  <si>
    <t>LK881_FA26</t>
  </si>
  <si>
    <t>5-08</t>
  </si>
  <si>
    <t>319260003</t>
  </si>
  <si>
    <t>ST841_FA26</t>
  </si>
  <si>
    <t>5-09</t>
  </si>
  <si>
    <t>5-10</t>
  </si>
  <si>
    <t>ZS5FR410_FA26</t>
  </si>
  <si>
    <t>5-11</t>
  </si>
  <si>
    <t>L0R516_C426IND</t>
  </si>
  <si>
    <t>5-12</t>
  </si>
  <si>
    <t>K864_FA26</t>
  </si>
  <si>
    <t>5-13</t>
  </si>
  <si>
    <t>5-14</t>
  </si>
  <si>
    <t>K880_FA26</t>
  </si>
  <si>
    <t>5-15</t>
  </si>
  <si>
    <t>5-16</t>
  </si>
  <si>
    <t>MAX198_Q227</t>
  </si>
  <si>
    <t>5-17</t>
  </si>
  <si>
    <t>5-18</t>
  </si>
  <si>
    <t>5-19</t>
  </si>
  <si>
    <t>5-20</t>
  </si>
  <si>
    <t>MAX233402_Q426</t>
  </si>
  <si>
    <t>MAX233402_Q127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</si>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</sst>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5" fontId="1" fillId="0" borderId="5" xfId="0" applyNumberFormat="1" applyFont="1" applyBorder="1" applyAlignment="1">
      <alignment horizontal="center" vertical="center"/>
    </xf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workbookViewId="0">
      <pane ySplit="4" topLeftCell="A5" activePane="bottomLeft" state="frozen"/>
      <selection pane="bottomLeft" activeCell="A10" sqref="A10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46265</v>
      </c>
    </row>
    <row r="2" spans="1:12" ht="13.5" thickBot="1"/>
    <row r="3" spans="1:12" ht="13.5" customHeight="1" thickTop="1">
      <c r="A3" s="39" t="s">
        <v>1</v>
      </c>
      <c r="B3" s="41" t="s">
        <v>2</v>
      </c>
      <c r="C3" s="41" t="s">
        <v>3</v>
      </c>
      <c r="D3" s="41" t="s">
        <v>4</v>
      </c>
      <c r="E3" s="41" t="s">
        <v>5</v>
      </c>
      <c r="F3" s="41" t="s">
        <v>6</v>
      </c>
      <c r="G3" s="41" t="s">
        <v>7</v>
      </c>
      <c r="H3" s="41" t="s">
        <v>8</v>
      </c>
      <c r="I3" s="41" t="s">
        <v>9</v>
      </c>
      <c r="J3" s="41" t="s">
        <v>10</v>
      </c>
      <c r="K3" s="41" t="s">
        <v>11</v>
      </c>
      <c r="L3" s="37" t="s">
        <v>12</v>
      </c>
    </row>
    <row r="4" spans="1:12">
      <c r="A4" s="40"/>
      <c r="B4" s="42"/>
      <c r="C4" s="42"/>
      <c r="D4" s="42"/>
      <c r="E4" s="42"/>
      <c r="F4" s="42"/>
      <c r="G4" s="42"/>
      <c r="H4" s="42"/>
      <c r="I4" s="42"/>
      <c r="J4" s="42"/>
      <c r="K4" s="42"/>
      <c r="L4" s="38"/>
    </row>
    <row r="5" spans="1:12">
      <c r="A5" s="3" t="s">
        <v>13</v>
      </c>
      <c r="B5" s="4" t="s">
        <v>14</v>
      </c>
      <c r="C5" s="5">
        <v>46238</v>
      </c>
      <c r="D5" s="6">
        <v>1694</v>
      </c>
      <c r="E5" s="7">
        <v>9</v>
      </c>
      <c r="F5" s="8">
        <f>IF(E5=0,0,D5/E5)</f>
        <v>188.22222222222223</v>
      </c>
      <c r="G5" s="9">
        <f>IF(E5=0,0,SUMPRODUCT(F5:F5,J5:J5)/(I5*2.52))</f>
        <v>1.7562562562562563</v>
      </c>
      <c r="H5" s="10">
        <f>G5*I5*E5</f>
        <v>584.83333333333337</v>
      </c>
      <c r="I5" s="10">
        <v>37</v>
      </c>
      <c r="J5" s="6">
        <v>0.87</v>
      </c>
      <c r="K5" s="8">
        <f>2.52/J5*I5</f>
        <v>107.17241379310344</v>
      </c>
      <c r="L5" s="11">
        <f>E5*I5</f>
        <v>333</v>
      </c>
    </row>
    <row r="6" spans="1:12">
      <c r="A6" s="3" t="s">
        <v>15</v>
      </c>
      <c r="B6" s="4" t="s">
        <v>14</v>
      </c>
      <c r="C6" s="5">
        <v>46198</v>
      </c>
      <c r="D6" s="6">
        <v>1671</v>
      </c>
      <c r="E6" s="7">
        <v>9</v>
      </c>
      <c r="F6" s="8">
        <f>IF(E6=0,0,D6/E6)</f>
        <v>185.66666666666666</v>
      </c>
      <c r="G6" s="9">
        <f>IF(E6=0,0,SUMPRODUCT(F6:F6,J6:J6)/(I6*2.52))</f>
        <v>1.8852707749766573</v>
      </c>
      <c r="H6" s="10">
        <f>G6*I6*E6</f>
        <v>576.89285714285722</v>
      </c>
      <c r="I6" s="10">
        <v>34</v>
      </c>
      <c r="J6" s="6">
        <v>0.87</v>
      </c>
      <c r="K6" s="8">
        <f>2.52/J6*I6</f>
        <v>98.482758620689651</v>
      </c>
      <c r="L6" s="11">
        <f>E6*I6</f>
        <v>306</v>
      </c>
    </row>
    <row r="7" spans="1:12">
      <c r="A7" s="3" t="s">
        <v>16</v>
      </c>
      <c r="B7" s="4" t="s">
        <v>17</v>
      </c>
      <c r="C7" s="5">
        <v>46245</v>
      </c>
      <c r="D7" s="6">
        <v>788</v>
      </c>
      <c r="E7" s="7">
        <v>9</v>
      </c>
      <c r="F7" s="8">
        <f>IF(E7=0,0,D7/E7)</f>
        <v>87.555555555555557</v>
      </c>
      <c r="G7" s="9">
        <f>IF(E7=0,0,SUMPRODUCT(F7:F7,J7:J7)/(I7*2.52))</f>
        <v>1.5400162066828733</v>
      </c>
      <c r="H7" s="10">
        <f>G7*I7*E7</f>
        <v>512.82539682539675</v>
      </c>
      <c r="I7" s="10">
        <v>37</v>
      </c>
      <c r="J7" s="6">
        <v>1.64</v>
      </c>
      <c r="K7" s="8">
        <f>2.52/J7*I7</f>
        <v>56.853658536585364</v>
      </c>
      <c r="L7" s="11">
        <f>E7*I7</f>
        <v>333</v>
      </c>
    </row>
    <row r="8" spans="1:12">
      <c r="A8" s="30" t="s">
        <v>18</v>
      </c>
      <c r="B8" s="4" t="s">
        <v>14</v>
      </c>
      <c r="C8" s="5">
        <v>46219</v>
      </c>
      <c r="D8" s="6">
        <v>514</v>
      </c>
      <c r="E8" s="31">
        <v>8</v>
      </c>
      <c r="F8" s="8">
        <f>IF(E8=0,0,D8/E8)</f>
        <v>64.25</v>
      </c>
      <c r="G8" s="32">
        <f>IF(E8=0,0,SUMPRODUCT(F8:F9,J8:J9)/(I8*2.52))</f>
        <v>0.66128326330532206</v>
      </c>
      <c r="H8" s="33">
        <f>G8*I8*E8</f>
        <v>179.86904761904759</v>
      </c>
      <c r="I8" s="33">
        <v>34</v>
      </c>
      <c r="J8" s="6">
        <v>0.87</v>
      </c>
      <c r="K8" s="8">
        <f>2.52/J8*I8</f>
        <v>98.482758620689651</v>
      </c>
      <c r="L8" s="11">
        <f>E8*I8</f>
        <v>272</v>
      </c>
    </row>
    <row r="9" spans="1:12">
      <c r="A9" s="30"/>
      <c r="B9" s="4" t="s">
        <v>19</v>
      </c>
      <c r="C9" s="5">
        <v>46265</v>
      </c>
      <c r="D9" s="6">
        <v>7</v>
      </c>
      <c r="E9" s="31"/>
      <c r="F9" s="8">
        <f>IF(E8=0,0,D9/E8)</f>
        <v>0.875</v>
      </c>
      <c r="G9" s="32"/>
      <c r="H9" s="33"/>
      <c r="I9" s="33"/>
      <c r="J9" s="6">
        <v>0.87</v>
      </c>
      <c r="K9" s="8">
        <f>2.52/J9*I8</f>
        <v>98.482758620689651</v>
      </c>
      <c r="L9" s="11"/>
    </row>
    <row r="10" spans="1:12">
      <c r="A10" s="3" t="s">
        <v>20</v>
      </c>
      <c r="B10" s="4" t="s">
        <v>21</v>
      </c>
      <c r="C10" s="5">
        <v>46213</v>
      </c>
      <c r="D10" s="6">
        <v>845</v>
      </c>
      <c r="E10" s="7">
        <v>9</v>
      </c>
      <c r="F10" s="8">
        <f>IF(E10=0,0,D10/E10)</f>
        <v>93.888888888888886</v>
      </c>
      <c r="G10" s="9">
        <f>IF(E10=0,0,SUMPRODUCT(F10:F10,J10:J10)/(I10*2.52))</f>
        <v>2.1208112874779541</v>
      </c>
      <c r="H10" s="10">
        <f>G10*I10*E10</f>
        <v>744.40476190476193</v>
      </c>
      <c r="I10" s="10">
        <v>39</v>
      </c>
      <c r="J10" s="6">
        <v>2.2200000000000002</v>
      </c>
      <c r="K10" s="8">
        <f>2.52/J10*I10</f>
        <v>44.270270270270267</v>
      </c>
      <c r="L10" s="11">
        <f>E10*I10</f>
        <v>351</v>
      </c>
    </row>
    <row r="11" spans="1:12">
      <c r="A11" s="30" t="s">
        <v>22</v>
      </c>
      <c r="B11" s="4" t="s">
        <v>21</v>
      </c>
      <c r="C11" s="5">
        <v>46207</v>
      </c>
      <c r="D11" s="6">
        <v>156</v>
      </c>
      <c r="E11" s="31">
        <v>9</v>
      </c>
      <c r="F11" s="8">
        <f>IF(E11=0,0,D11/E11)</f>
        <v>17.333333333333332</v>
      </c>
      <c r="G11" s="32">
        <f>IF(E11=0,0,SUMPRODUCT(F11:F12,J11:J12)/(I11*2.52))</f>
        <v>2.2032163742690059</v>
      </c>
      <c r="H11" s="33">
        <f>G11*I11*E11</f>
        <v>753.5</v>
      </c>
      <c r="I11" s="33">
        <v>38</v>
      </c>
      <c r="J11" s="6">
        <v>2.2200000000000002</v>
      </c>
      <c r="K11" s="8">
        <f>2.52/J11*I11</f>
        <v>43.13513513513513</v>
      </c>
      <c r="L11" s="11">
        <f>E11*I11</f>
        <v>342</v>
      </c>
    </row>
    <row r="12" spans="1:12">
      <c r="A12" s="30"/>
      <c r="B12" s="4" t="s">
        <v>21</v>
      </c>
      <c r="C12" s="5">
        <v>46207</v>
      </c>
      <c r="D12" s="6">
        <v>675</v>
      </c>
      <c r="E12" s="31"/>
      <c r="F12" s="8">
        <f>IF(E11=0,0,D12/E11)</f>
        <v>75</v>
      </c>
      <c r="G12" s="32"/>
      <c r="H12" s="33"/>
      <c r="I12" s="33"/>
      <c r="J12" s="6">
        <v>2.2999999999999998</v>
      </c>
      <c r="K12" s="8">
        <f>2.52/J12*I11</f>
        <v>41.634782608695659</v>
      </c>
      <c r="L12" s="11"/>
    </row>
    <row r="13" spans="1:12">
      <c r="A13" s="3" t="s">
        <v>23</v>
      </c>
      <c r="B13" s="4" t="s">
        <v>24</v>
      </c>
      <c r="C13" s="5">
        <v>46237</v>
      </c>
      <c r="D13" s="6">
        <v>584</v>
      </c>
      <c r="E13" s="7">
        <v>9</v>
      </c>
      <c r="F13" s="8">
        <f>IF(E13=0,0,D13/E13)</f>
        <v>64.888888888888886</v>
      </c>
      <c r="G13" s="9">
        <f>IF(E13=0,0,SUMPRODUCT(F13:F13,J13:J13)/(I13*2.52))</f>
        <v>1.1422240311129199</v>
      </c>
      <c r="H13" s="10">
        <f>G13*I13*E13</f>
        <v>400.92063492063494</v>
      </c>
      <c r="I13" s="10">
        <v>39</v>
      </c>
      <c r="J13" s="6">
        <v>1.73</v>
      </c>
      <c r="K13" s="8">
        <f>2.52/J13*I13</f>
        <v>56.809248554913296</v>
      </c>
      <c r="L13" s="11">
        <f>E13*I13</f>
        <v>351</v>
      </c>
    </row>
    <row r="14" spans="1:12">
      <c r="A14" s="30" t="s">
        <v>25</v>
      </c>
      <c r="B14" s="4" t="s">
        <v>26</v>
      </c>
      <c r="C14" s="5">
        <v>46219</v>
      </c>
      <c r="D14" s="6">
        <v>7</v>
      </c>
      <c r="E14" s="31">
        <v>8</v>
      </c>
      <c r="F14" s="8">
        <f>IF(E14=0,0,D14/E14)</f>
        <v>0.875</v>
      </c>
      <c r="G14" s="32">
        <f>IF(E14=0,0,SUMPRODUCT(F14:F15,J14:J15)/(I14*2.52))</f>
        <v>0.63918911862990802</v>
      </c>
      <c r="H14" s="33">
        <f>G14*I14*E14</f>
        <v>194.31349206349205</v>
      </c>
      <c r="I14" s="33">
        <v>38</v>
      </c>
      <c r="J14" s="6">
        <v>0.85</v>
      </c>
      <c r="K14" s="8">
        <f>2.52/J14*I14</f>
        <v>112.65882352941176</v>
      </c>
      <c r="L14" s="11">
        <f>E14*I14</f>
        <v>304</v>
      </c>
    </row>
    <row r="15" spans="1:12">
      <c r="A15" s="30"/>
      <c r="B15" s="4" t="s">
        <v>27</v>
      </c>
      <c r="C15" s="5">
        <v>46239</v>
      </c>
      <c r="D15" s="6">
        <v>278</v>
      </c>
      <c r="E15" s="31"/>
      <c r="F15" s="8">
        <f>IF(E14=0,0,D15/E14)</f>
        <v>34.75</v>
      </c>
      <c r="G15" s="32"/>
      <c r="H15" s="33"/>
      <c r="I15" s="33"/>
      <c r="J15" s="6">
        <v>1.74</v>
      </c>
      <c r="K15" s="8">
        <f>2.52/J15*I14</f>
        <v>55.03448275862069</v>
      </c>
      <c r="L15" s="11"/>
    </row>
    <row r="16" spans="1:12">
      <c r="A16" s="3" t="s">
        <v>28</v>
      </c>
      <c r="B16" s="4" t="s">
        <v>27</v>
      </c>
      <c r="C16" s="5">
        <v>46240</v>
      </c>
      <c r="D16" s="6">
        <v>647</v>
      </c>
      <c r="E16" s="7">
        <v>9</v>
      </c>
      <c r="F16" s="8">
        <f>IF(E16=0,0,D16/E16)</f>
        <v>71.888888888888886</v>
      </c>
      <c r="G16" s="9">
        <f>IF(E16=0,0,SUMPRODUCT(F16:F16,J16:J16)/(I16*2.52))</f>
        <v>1.3062517404622667</v>
      </c>
      <c r="H16" s="10">
        <f>G16*I16*E16</f>
        <v>446.73809523809518</v>
      </c>
      <c r="I16" s="10">
        <v>38</v>
      </c>
      <c r="J16" s="6">
        <v>1.74</v>
      </c>
      <c r="K16" s="8">
        <f>2.52/J16*I16</f>
        <v>55.03448275862069</v>
      </c>
      <c r="L16" s="11">
        <f>E16*I16</f>
        <v>342</v>
      </c>
    </row>
    <row r="17" spans="1:12">
      <c r="A17" s="3" t="s">
        <v>29</v>
      </c>
      <c r="B17" s="4" t="s">
        <v>30</v>
      </c>
      <c r="C17" s="5">
        <v>46157</v>
      </c>
      <c r="D17" s="6">
        <v>741</v>
      </c>
      <c r="E17" s="7">
        <v>8</v>
      </c>
      <c r="F17" s="8">
        <f>IF(E17=0,0,D17/E17)</f>
        <v>92.625</v>
      </c>
      <c r="G17" s="9">
        <f>IF(E17=0,0,SUMPRODUCT(F17:F17,J17:J17)/(I17*2.52))</f>
        <v>1.1607142857142856</v>
      </c>
      <c r="H17" s="10">
        <f>G17*I17*E17</f>
        <v>352.85714285714283</v>
      </c>
      <c r="I17" s="10">
        <v>38</v>
      </c>
      <c r="J17" s="6">
        <v>1.2</v>
      </c>
      <c r="K17" s="8">
        <f>2.52/J17*I17</f>
        <v>79.8</v>
      </c>
      <c r="L17" s="11">
        <f>E17*I17</f>
        <v>304</v>
      </c>
    </row>
    <row r="18" spans="1:12">
      <c r="A18" s="30" t="s">
        <v>31</v>
      </c>
      <c r="B18" s="4" t="s">
        <v>32</v>
      </c>
      <c r="C18" s="5">
        <v>46154</v>
      </c>
      <c r="D18" s="6">
        <v>51</v>
      </c>
      <c r="E18" s="31">
        <v>9</v>
      </c>
      <c r="F18" s="8">
        <f>IF(E18=0,0,D18/E18)</f>
        <v>5.666666666666667</v>
      </c>
      <c r="G18" s="32">
        <f>IF(E18=0,0,SUMPRODUCT(F18:F19,J18:J19)/(I18*2.52))</f>
        <v>1.8607282094124202</v>
      </c>
      <c r="H18" s="33">
        <f>G18*I18*E18</f>
        <v>636.36904761904771</v>
      </c>
      <c r="I18" s="33">
        <v>38</v>
      </c>
      <c r="J18" s="6">
        <v>2.41</v>
      </c>
      <c r="K18" s="8">
        <f>2.52/J18*I18</f>
        <v>39.73443983402489</v>
      </c>
      <c r="L18" s="11">
        <f>E18*I18</f>
        <v>342</v>
      </c>
    </row>
    <row r="19" spans="1:12">
      <c r="A19" s="30"/>
      <c r="B19" s="4" t="s">
        <v>21</v>
      </c>
      <c r="C19" s="5">
        <v>46262</v>
      </c>
      <c r="D19" s="6">
        <v>667</v>
      </c>
      <c r="E19" s="31"/>
      <c r="F19" s="8">
        <f>IF(E18=0,0,D19/E18)</f>
        <v>74.111111111111114</v>
      </c>
      <c r="G19" s="32"/>
      <c r="H19" s="33"/>
      <c r="I19" s="33"/>
      <c r="J19" s="6">
        <v>2.2200000000000002</v>
      </c>
      <c r="K19" s="8">
        <f>2.52/J19*I18</f>
        <v>43.13513513513513</v>
      </c>
      <c r="L19" s="11"/>
    </row>
    <row r="20" spans="1:12">
      <c r="A20" s="3" t="s">
        <v>33</v>
      </c>
      <c r="B20" s="4" t="s">
        <v>34</v>
      </c>
      <c r="C20" s="5">
        <v>46235</v>
      </c>
      <c r="D20" s="6">
        <v>1051</v>
      </c>
      <c r="E20" s="7">
        <v>9</v>
      </c>
      <c r="F20" s="8">
        <f>IF(E20=0,0,D20/E20)</f>
        <v>116.77777777777777</v>
      </c>
      <c r="G20" s="9">
        <f t="shared" ref="G20:G27" si="0">IF(E20=0,0,SUMPRODUCT(F20:F20,J20:J20)/(I20*2.52))</f>
        <v>1.3783294894406004</v>
      </c>
      <c r="H20" s="10">
        <f t="shared" ref="H20:H28" si="1">G20*I20*E20</f>
        <v>483.79365079365073</v>
      </c>
      <c r="I20" s="10">
        <v>39</v>
      </c>
      <c r="J20" s="6">
        <v>1.1599999999999999</v>
      </c>
      <c r="K20" s="8">
        <f t="shared" ref="K20:K28" si="2">2.52/J20*I20</f>
        <v>84.724137931034491</v>
      </c>
      <c r="L20" s="11">
        <f t="shared" ref="L20:L28" si="3">E20*I20</f>
        <v>351</v>
      </c>
    </row>
    <row r="21" spans="1:12">
      <c r="A21" s="3" t="s">
        <v>35</v>
      </c>
      <c r="B21" s="4" t="s">
        <v>19</v>
      </c>
      <c r="C21" s="5">
        <v>46255</v>
      </c>
      <c r="D21" s="6">
        <v>1224</v>
      </c>
      <c r="E21" s="7">
        <v>9</v>
      </c>
      <c r="F21" s="8">
        <f>IF(E21=0,0,D21/E21)</f>
        <v>136</v>
      </c>
      <c r="G21" s="9">
        <f t="shared" si="0"/>
        <v>1.2039072039072038</v>
      </c>
      <c r="H21" s="10">
        <f t="shared" si="1"/>
        <v>422.57142857142856</v>
      </c>
      <c r="I21" s="10">
        <v>39</v>
      </c>
      <c r="J21" s="6">
        <v>0.87</v>
      </c>
      <c r="K21" s="8">
        <f t="shared" si="2"/>
        <v>112.96551724137932</v>
      </c>
      <c r="L21" s="11">
        <f t="shared" si="3"/>
        <v>351</v>
      </c>
    </row>
    <row r="22" spans="1:12">
      <c r="A22" s="3" t="s">
        <v>36</v>
      </c>
      <c r="B22" s="4" t="s">
        <v>37</v>
      </c>
      <c r="C22" s="5">
        <v>46192</v>
      </c>
      <c r="D22" s="6">
        <v>1344</v>
      </c>
      <c r="E22" s="7">
        <v>9</v>
      </c>
      <c r="F22" s="8">
        <f>IF(E22=0,0,D22/E22)</f>
        <v>149.33333333333334</v>
      </c>
      <c r="G22" s="9">
        <f t="shared" si="0"/>
        <v>1.996101364522417</v>
      </c>
      <c r="H22" s="10">
        <f t="shared" si="1"/>
        <v>682.66666666666663</v>
      </c>
      <c r="I22" s="10">
        <v>38</v>
      </c>
      <c r="J22" s="6">
        <v>1.28</v>
      </c>
      <c r="K22" s="8">
        <f t="shared" si="2"/>
        <v>74.8125</v>
      </c>
      <c r="L22" s="11">
        <f t="shared" si="3"/>
        <v>342</v>
      </c>
    </row>
    <row r="23" spans="1:12">
      <c r="A23" s="3" t="s">
        <v>38</v>
      </c>
      <c r="B23" s="4" t="s">
        <v>14</v>
      </c>
      <c r="C23" s="5">
        <v>46209</v>
      </c>
      <c r="D23" s="6">
        <v>2000</v>
      </c>
      <c r="E23" s="7">
        <v>9</v>
      </c>
      <c r="F23" s="8">
        <f>IF(E23=0,0,D23/E23)</f>
        <v>222.22222222222223</v>
      </c>
      <c r="G23" s="9">
        <f t="shared" si="0"/>
        <v>2.018936229462545</v>
      </c>
      <c r="H23" s="10">
        <f t="shared" si="1"/>
        <v>690.47619047619037</v>
      </c>
      <c r="I23" s="10">
        <v>38</v>
      </c>
      <c r="J23" s="6">
        <v>0.87</v>
      </c>
      <c r="K23" s="8">
        <f t="shared" si="2"/>
        <v>110.06896551724138</v>
      </c>
      <c r="L23" s="11">
        <f t="shared" si="3"/>
        <v>342</v>
      </c>
    </row>
    <row r="24" spans="1:12">
      <c r="A24" s="3" t="s">
        <v>39</v>
      </c>
      <c r="B24" s="4" t="s">
        <v>40</v>
      </c>
      <c r="C24" s="5">
        <v>46262</v>
      </c>
      <c r="D24" s="6">
        <v>494</v>
      </c>
      <c r="E24" s="7">
        <v>8</v>
      </c>
      <c r="F24" s="8">
        <f>IF(E24=0,0,D24/E24)</f>
        <v>61.75</v>
      </c>
      <c r="G24" s="9">
        <f t="shared" si="0"/>
        <v>0.60317460317460314</v>
      </c>
      <c r="H24" s="10">
        <f t="shared" si="1"/>
        <v>188.19047619047618</v>
      </c>
      <c r="I24" s="10">
        <v>39</v>
      </c>
      <c r="J24" s="6">
        <v>0.96</v>
      </c>
      <c r="K24" s="8">
        <f t="shared" si="2"/>
        <v>102.375</v>
      </c>
      <c r="L24" s="11">
        <f t="shared" si="3"/>
        <v>312</v>
      </c>
    </row>
    <row r="25" spans="1:12">
      <c r="A25" s="3" t="s">
        <v>41</v>
      </c>
      <c r="B25" s="4" t="s">
        <v>21</v>
      </c>
      <c r="C25" s="5">
        <v>46155</v>
      </c>
      <c r="D25" s="6">
        <v>821</v>
      </c>
      <c r="E25" s="7">
        <v>9</v>
      </c>
      <c r="F25" s="8">
        <f>IF(E25=0,0,D25/E25)</f>
        <v>91.222222222222229</v>
      </c>
      <c r="G25" s="9">
        <f t="shared" si="0"/>
        <v>2.009060846560847</v>
      </c>
      <c r="H25" s="10">
        <f t="shared" si="1"/>
        <v>723.26190476190482</v>
      </c>
      <c r="I25" s="10">
        <v>40</v>
      </c>
      <c r="J25" s="6">
        <v>2.2200000000000002</v>
      </c>
      <c r="K25" s="8">
        <f t="shared" si="2"/>
        <v>45.405405405405403</v>
      </c>
      <c r="L25" s="11">
        <f t="shared" si="3"/>
        <v>360</v>
      </c>
    </row>
    <row r="26" spans="1:12">
      <c r="A26" s="3" t="s">
        <v>42</v>
      </c>
      <c r="B26" s="4" t="s">
        <v>14</v>
      </c>
      <c r="C26" s="5">
        <v>46219</v>
      </c>
      <c r="D26" s="6">
        <v>1718</v>
      </c>
      <c r="E26" s="7">
        <v>9</v>
      </c>
      <c r="F26" s="8">
        <f>IF(E26=0,0,D26/E26)</f>
        <v>190.88888888888889</v>
      </c>
      <c r="G26" s="9">
        <f t="shared" si="0"/>
        <v>1.8306143445032332</v>
      </c>
      <c r="H26" s="10">
        <f t="shared" si="1"/>
        <v>593.11904761904748</v>
      </c>
      <c r="I26" s="10">
        <v>36</v>
      </c>
      <c r="J26" s="6">
        <v>0.87</v>
      </c>
      <c r="K26" s="8">
        <f t="shared" si="2"/>
        <v>104.27586206896552</v>
      </c>
      <c r="L26" s="11">
        <f t="shared" si="3"/>
        <v>324</v>
      </c>
    </row>
    <row r="27" spans="1:12">
      <c r="A27" s="3" t="s">
        <v>43</v>
      </c>
      <c r="B27" s="4" t="s">
        <v>14</v>
      </c>
      <c r="C27" s="5">
        <v>46192</v>
      </c>
      <c r="D27" s="6">
        <v>2015</v>
      </c>
      <c r="E27" s="7">
        <v>9</v>
      </c>
      <c r="F27" s="8">
        <f>IF(E27=0,0,D27/E27)</f>
        <v>223.88888888888889</v>
      </c>
      <c r="G27" s="9">
        <f t="shared" si="0"/>
        <v>1.9819223985890653</v>
      </c>
      <c r="H27" s="10">
        <f t="shared" si="1"/>
        <v>695.65476190476193</v>
      </c>
      <c r="I27" s="10">
        <v>39</v>
      </c>
      <c r="J27" s="6">
        <v>0.87</v>
      </c>
      <c r="K27" s="8">
        <f t="shared" si="2"/>
        <v>112.96551724137932</v>
      </c>
      <c r="L27" s="11">
        <f t="shared" si="3"/>
        <v>351</v>
      </c>
    </row>
    <row r="28" spans="1:12">
      <c r="A28" s="30" t="s">
        <v>44</v>
      </c>
      <c r="B28" s="4" t="s">
        <v>45</v>
      </c>
      <c r="C28" s="5">
        <v>46237</v>
      </c>
      <c r="D28" s="6">
        <v>2</v>
      </c>
      <c r="E28" s="31">
        <v>9</v>
      </c>
      <c r="F28" s="8">
        <f>IF(E28=0,0,D28/E28)</f>
        <v>0.22222222222222221</v>
      </c>
      <c r="G28" s="32">
        <f>IF(E28=0,0,SUMPRODUCT(F28:F29,J28:J29)/(I28*2.52))</f>
        <v>1.4890873015873016</v>
      </c>
      <c r="H28" s="33">
        <f t="shared" si="1"/>
        <v>536.07142857142856</v>
      </c>
      <c r="I28" s="33">
        <v>40</v>
      </c>
      <c r="J28" s="6">
        <v>0.79</v>
      </c>
      <c r="K28" s="8">
        <f t="shared" si="2"/>
        <v>127.59493670886074</v>
      </c>
      <c r="L28" s="11">
        <f t="shared" si="3"/>
        <v>360</v>
      </c>
    </row>
    <row r="29" spans="1:12">
      <c r="A29" s="30"/>
      <c r="B29" s="4" t="s">
        <v>46</v>
      </c>
      <c r="C29" s="5">
        <v>46253</v>
      </c>
      <c r="D29" s="6">
        <v>1708</v>
      </c>
      <c r="E29" s="31"/>
      <c r="F29" s="8">
        <f>IF(E28=0,0,D29/E28)</f>
        <v>189.77777777777777</v>
      </c>
      <c r="G29" s="32"/>
      <c r="H29" s="33"/>
      <c r="I29" s="33"/>
      <c r="J29" s="6">
        <v>0.79</v>
      </c>
      <c r="K29" s="8">
        <f>2.52/J29*I28</f>
        <v>127.59493670886074</v>
      </c>
      <c r="L29" s="11"/>
    </row>
    <row r="30" spans="1:12">
      <c r="A30" s="34" t="s">
        <v>47</v>
      </c>
      <c r="B30" s="35"/>
      <c r="C30" s="36"/>
      <c r="D30" s="12">
        <f>SUM(D5:D29)</f>
        <v>21702</v>
      </c>
      <c r="E30" s="13">
        <f>SUM(E5:E29)</f>
        <v>176</v>
      </c>
      <c r="F30" s="14"/>
      <c r="G30" s="15">
        <f>SUM(H5:H29)/L30</f>
        <v>1.5584189068004448</v>
      </c>
      <c r="H30" s="12"/>
      <c r="I30" s="12">
        <f>SUM(I5:I29)</f>
        <v>758</v>
      </c>
      <c r="J30" s="12"/>
      <c r="K30" s="14"/>
      <c r="L30" s="16">
        <f>SUM(L5:L29)</f>
        <v>6673</v>
      </c>
    </row>
    <row r="31" spans="1:12">
      <c r="A31" s="17"/>
      <c r="B31" s="6"/>
      <c r="C31" s="5"/>
      <c r="D31" s="6"/>
      <c r="E31" s="18"/>
      <c r="F31" s="8"/>
      <c r="G31" s="19"/>
      <c r="H31" s="6"/>
      <c r="I31" s="6"/>
      <c r="J31" s="6"/>
      <c r="K31" s="8"/>
      <c r="L31" s="11"/>
    </row>
    <row r="32" spans="1:12" ht="13.5" thickBot="1">
      <c r="A32" s="27" t="s">
        <v>48</v>
      </c>
      <c r="B32" s="28"/>
      <c r="C32" s="29"/>
      <c r="D32" s="20">
        <f>SUMIF(A5:A31, "&lt;&gt;Summary", D5:D31)</f>
        <v>21702</v>
      </c>
      <c r="E32" s="21">
        <f>SUMIF(A5:A31, "&lt;&gt;Summary", E5:E31)</f>
        <v>176</v>
      </c>
      <c r="F32" s="22"/>
      <c r="G32" s="23">
        <f>SUMIF(A5:A31, "&lt;&gt;Summary", H5:H31)/L32</f>
        <v>1.5584189068004448</v>
      </c>
      <c r="H32" s="20"/>
      <c r="I32" s="20">
        <f>SUMIF(A5:A31, "&lt;&gt;Summary", I5:I31)</f>
        <v>758</v>
      </c>
      <c r="J32" s="20"/>
      <c r="K32" s="22"/>
      <c r="L32" s="24">
        <f>SUMIF(A5:A31, "&lt;&gt;Summary", L5:L31)</f>
        <v>6673</v>
      </c>
    </row>
    <row r="33" spans="3:4" ht="13.5" thickTop="1"/>
    <row r="34" spans="3:4">
      <c r="C34" s="25" t="s">
        <v>49</v>
      </c>
      <c r="D34" s="26">
        <f>SUM(H5:H10)/SUM(L5:L10)</f>
        <v>1.6293576155645122</v>
      </c>
    </row>
    <row r="35" spans="3:4">
      <c r="C35" s="25" t="s">
        <v>50</v>
      </c>
      <c r="D35" s="26">
        <f>SUM(H11:H17)/SUM(L11:L17)</f>
        <v>1.3075650426532957</v>
      </c>
    </row>
    <row r="36" spans="3:4">
      <c r="C36" s="25" t="s">
        <v>51</v>
      </c>
      <c r="D36" s="26">
        <f>SUM(H18:H23)/SUM(L18:L23)</f>
        <v>1.6874288102586712</v>
      </c>
    </row>
    <row r="37" spans="3:4">
      <c r="C37" s="25" t="s">
        <v>52</v>
      </c>
      <c r="D37" s="26">
        <f>SUM(H24:H29)/SUM(L24:L29)</f>
        <v>1.6029863028984292</v>
      </c>
    </row>
  </sheetData>
  <mergeCells count="39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1:A12"/>
    <mergeCell ref="E11:E12"/>
    <mergeCell ref="G11:G12"/>
    <mergeCell ref="H11:H12"/>
    <mergeCell ref="I11:I12"/>
    <mergeCell ref="A8:A9"/>
    <mergeCell ref="E8:E9"/>
    <mergeCell ref="G8:G9"/>
    <mergeCell ref="H8:H9"/>
    <mergeCell ref="I8:I9"/>
    <mergeCell ref="I28:I29"/>
    <mergeCell ref="A30:C30"/>
    <mergeCell ref="A14:A15"/>
    <mergeCell ref="E14:E15"/>
    <mergeCell ref="G14:G15"/>
    <mergeCell ref="H14:H15"/>
    <mergeCell ref="I14:I15"/>
    <mergeCell ref="A18:A19"/>
    <mergeCell ref="E18:E19"/>
    <mergeCell ref="G18:G19"/>
    <mergeCell ref="H18:H19"/>
    <mergeCell ref="I18:I19"/>
    <mergeCell ref="A32:C32"/>
    <mergeCell ref="A28:A29"/>
    <mergeCell ref="E28:E29"/>
    <mergeCell ref="G28:G29"/>
    <mergeCell ref="H28:H29"/>
  </mergeCells>
  <printOptions horizontalCentered="1"/>
  <pageMargins left="0.2" right="0.2" top="1" bottom="0.2" header="0.2" footer="0.2"/>
  <pageSetup paperSize="9" scale="90" orientation="landscape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2026-09-01T01:46:08Z</cp:lastPrinted>
  <dcterms:created xsi:type="dcterms:W3CDTF">2026-09-01T00:16:58Z</dcterms:created>
  <dcterms:modified xsi:type="dcterms:W3CDTF">2026-09-01T02:25:26Z</dcterms:modified>
</cp:coreProperties>
</file>