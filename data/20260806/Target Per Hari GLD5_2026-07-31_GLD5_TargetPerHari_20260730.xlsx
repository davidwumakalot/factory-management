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2" i="1"/>
  <c r="E32"/>
  <c r="D32"/>
  <c r="I30"/>
  <c r="E30"/>
  <c r="D30"/>
  <c r="L29"/>
  <c r="G29"/>
  <c r="H29" s="1"/>
  <c r="K29"/>
  <c r="F29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G22"/>
  <c r="H22" s="1"/>
  <c r="K22"/>
  <c r="F22"/>
  <c r="L19"/>
  <c r="K21"/>
  <c r="F21"/>
  <c r="K20"/>
  <c r="F20"/>
  <c r="G19" s="1"/>
  <c r="H19" s="1"/>
  <c r="K19"/>
  <c r="F19"/>
  <c r="L17"/>
  <c r="K18"/>
  <c r="F18"/>
  <c r="K17"/>
  <c r="F17"/>
  <c r="L16"/>
  <c r="K16"/>
  <c r="F16"/>
  <c r="G16" s="1"/>
  <c r="H16" s="1"/>
  <c r="L14"/>
  <c r="K15"/>
  <c r="F15"/>
  <c r="K14"/>
  <c r="F14"/>
  <c r="G14" s="1"/>
  <c r="H14" s="1"/>
  <c r="L12"/>
  <c r="K13"/>
  <c r="F13"/>
  <c r="K12"/>
  <c r="F12"/>
  <c r="L11"/>
  <c r="G11"/>
  <c r="H11" s="1"/>
  <c r="K11"/>
  <c r="F11"/>
  <c r="L10"/>
  <c r="G10"/>
  <c r="H10" s="1"/>
  <c r="K10"/>
  <c r="F10"/>
  <c r="L9"/>
  <c r="K9"/>
  <c r="F9"/>
  <c r="G9" s="1"/>
  <c r="H9" s="1"/>
  <c r="L8"/>
  <c r="K8"/>
  <c r="F8"/>
  <c r="G8" s="1"/>
  <c r="H8" s="1"/>
  <c r="L7"/>
  <c r="K7"/>
  <c r="F7"/>
  <c r="G7" s="1"/>
  <c r="H7" s="1"/>
  <c r="L6"/>
  <c r="G6"/>
  <c r="H6" s="1"/>
  <c r="K6"/>
  <c r="F6"/>
  <c r="L5"/>
  <c r="L30" s="1"/>
  <c r="K5"/>
  <c r="F5"/>
  <c r="G5" s="1"/>
  <c r="H5" s="1"/>
  <c r="G17" l="1"/>
  <c r="H17" s="1"/>
  <c r="D36" s="1"/>
  <c r="L32"/>
  <c r="G32" s="1"/>
  <c r="G12"/>
  <c r="H12" s="1"/>
  <c r="G30" s="1"/>
  <c r="D34"/>
  <c r="D35"/>
  <c r="D37"/>
</calcChain>
</file>

<file path=xl/sharedStrings.xml><?xml version="1.0" encoding="utf-8"?>
<sst xmlns="http://schemas.openxmlformats.org/spreadsheetml/2006/main" count="64" uniqueCount="55">
  <si>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</si>
  <si>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</si>
  <si>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</si>
  <si>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</si>
  <si>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</si>
  <si>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</si>
  <si>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</si>
  <si>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</si>
  <si>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</si>
  <si>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</si>
  <si>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</si>
  <si>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</si>
  <si>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</si>
  <si>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</si>
  <si>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</si>
  <si>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</si>
  <si>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</si>
  <si>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</si>
  <si>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</si>
  <si>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</si>
  <si>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</si>
  <si>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</si>
  <si>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</si>
  <si>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</si>
  <si>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</si>
  <si>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5-08</t>
  </si>
  <si>
    <t>319260003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</si>
  <si>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</si>
  <si>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</si>
  <si>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</si>
  <si>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</si>
  <si>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</si>
  <si>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</si>
  <si>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</si>
  <si>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</si>
  <si>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</si>
  <si>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WRZ57M_C426</t>
  </si>
  <si>
    <t>1K62MR_C426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</si>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</sst>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7"/>
  <sheetViews>
    <sheetView tabSelected="1" workbookViewId="0">
      <pane ySplit="4" topLeftCell="A5" activePane="bottomLeft" state="frozen"/>
      <selection pane="bottomLeft" activeCell="B11" sqref="B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46233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" t="s">
        <v>13</v>
      </c>
      <c r="B5" s="4" t="s">
        <v>14</v>
      </c>
      <c r="C5" s="5">
        <v>46220</v>
      </c>
      <c r="D5" s="6">
        <v>517</v>
      </c>
      <c r="E5" s="7">
        <v>8</v>
      </c>
      <c r="F5" s="8">
        <f>IF(E5=0,0,D5/E5)</f>
        <v>64.625</v>
      </c>
      <c r="G5" s="9">
        <f t="shared" ref="G5:G11" si="0">IF(E5=0,0,SUMPRODUCT(F5:F5,J5:J5)/(I5*2.52))</f>
        <v>1.190183658933659</v>
      </c>
      <c r="H5" s="10">
        <f t="shared" ref="H5:H12" si="1">G5*I5*E5</f>
        <v>371.33730158730157</v>
      </c>
      <c r="I5" s="10">
        <v>39</v>
      </c>
      <c r="J5" s="6">
        <v>1.81</v>
      </c>
      <c r="K5" s="8">
        <f t="shared" ref="K5:K12" si="2">2.52/J5*I5</f>
        <v>54.298342541436462</v>
      </c>
      <c r="L5" s="11">
        <f t="shared" ref="L5:L12" si="3">E5*I5</f>
        <v>312</v>
      </c>
    </row>
    <row r="6" spans="1:12">
      <c r="A6" s="3" t="s">
        <v>15</v>
      </c>
      <c r="B6" s="4" t="s">
        <v>16</v>
      </c>
      <c r="C6" s="5">
        <v>46198</v>
      </c>
      <c r="D6" s="6">
        <v>1507</v>
      </c>
      <c r="E6" s="7">
        <v>9</v>
      </c>
      <c r="F6" s="8">
        <f>IF(E6=0,0,D6/E6)</f>
        <v>167.44444444444446</v>
      </c>
      <c r="G6" s="9">
        <f t="shared" si="0"/>
        <v>1.6057833627278073</v>
      </c>
      <c r="H6" s="10">
        <f t="shared" si="1"/>
        <v>520.27380952380963</v>
      </c>
      <c r="I6" s="10">
        <v>36</v>
      </c>
      <c r="J6" s="6">
        <v>0.87</v>
      </c>
      <c r="K6" s="8">
        <f t="shared" si="2"/>
        <v>104.27586206896552</v>
      </c>
      <c r="L6" s="11">
        <f t="shared" si="3"/>
        <v>324</v>
      </c>
    </row>
    <row r="7" spans="1:12">
      <c r="A7" s="3" t="s">
        <v>17</v>
      </c>
      <c r="B7" s="4" t="s">
        <v>18</v>
      </c>
      <c r="C7" s="5">
        <v>46230</v>
      </c>
      <c r="D7" s="6">
        <v>1254</v>
      </c>
      <c r="E7" s="7">
        <v>8</v>
      </c>
      <c r="F7" s="8">
        <f>IF(E7=0,0,D7/E7)</f>
        <v>156.75</v>
      </c>
      <c r="G7" s="9">
        <f t="shared" si="0"/>
        <v>1.4686673280423279</v>
      </c>
      <c r="H7" s="10">
        <f t="shared" si="1"/>
        <v>422.97619047619042</v>
      </c>
      <c r="I7" s="10">
        <v>36</v>
      </c>
      <c r="J7" s="6">
        <v>0.85</v>
      </c>
      <c r="K7" s="8">
        <f t="shared" si="2"/>
        <v>106.72941176470589</v>
      </c>
      <c r="L7" s="11">
        <f t="shared" si="3"/>
        <v>288</v>
      </c>
    </row>
    <row r="8" spans="1:12">
      <c r="A8" s="3" t="s">
        <v>19</v>
      </c>
      <c r="B8" s="4" t="s">
        <v>16</v>
      </c>
      <c r="C8" s="5">
        <v>46219</v>
      </c>
      <c r="D8" s="6">
        <v>1580</v>
      </c>
      <c r="E8" s="7">
        <v>9</v>
      </c>
      <c r="F8" s="8">
        <f>IF(E8=0,0,D8/E8)</f>
        <v>175.55555555555554</v>
      </c>
      <c r="G8" s="9">
        <f t="shared" si="0"/>
        <v>1.6835684891240446</v>
      </c>
      <c r="H8" s="10">
        <f t="shared" si="1"/>
        <v>545.47619047619048</v>
      </c>
      <c r="I8" s="10">
        <v>36</v>
      </c>
      <c r="J8" s="6">
        <v>0.87</v>
      </c>
      <c r="K8" s="8">
        <f t="shared" si="2"/>
        <v>104.27586206896552</v>
      </c>
      <c r="L8" s="11">
        <f t="shared" si="3"/>
        <v>324</v>
      </c>
    </row>
    <row r="9" spans="1:12">
      <c r="A9" s="3" t="s">
        <v>20</v>
      </c>
      <c r="B9" s="4" t="s">
        <v>21</v>
      </c>
      <c r="C9" s="5">
        <v>46213</v>
      </c>
      <c r="D9" s="6">
        <v>701</v>
      </c>
      <c r="E9" s="7">
        <v>8</v>
      </c>
      <c r="F9" s="8">
        <f>IF(E9=0,0,D9/E9)</f>
        <v>87.625</v>
      </c>
      <c r="G9" s="9">
        <f t="shared" si="0"/>
        <v>1.9793192918192919</v>
      </c>
      <c r="H9" s="10">
        <f t="shared" si="1"/>
        <v>617.54761904761904</v>
      </c>
      <c r="I9" s="10">
        <v>39</v>
      </c>
      <c r="J9" s="6">
        <v>2.2200000000000002</v>
      </c>
      <c r="K9" s="8">
        <f t="shared" si="2"/>
        <v>44.270270270270267</v>
      </c>
      <c r="L9" s="11">
        <f t="shared" si="3"/>
        <v>312</v>
      </c>
    </row>
    <row r="10" spans="1:12">
      <c r="A10" s="3" t="s">
        <v>22</v>
      </c>
      <c r="B10" s="4" t="s">
        <v>21</v>
      </c>
      <c r="C10" s="5">
        <v>46207</v>
      </c>
      <c r="D10" s="6">
        <v>630</v>
      </c>
      <c r="E10" s="7">
        <v>8</v>
      </c>
      <c r="F10" s="8">
        <f>IF(E10=0,0,D10/E10)</f>
        <v>78.75</v>
      </c>
      <c r="G10" s="9">
        <f t="shared" si="0"/>
        <v>1.9270833333333335</v>
      </c>
      <c r="H10" s="10">
        <f t="shared" si="1"/>
        <v>555</v>
      </c>
      <c r="I10" s="10">
        <v>36</v>
      </c>
      <c r="J10" s="6">
        <v>2.2200000000000002</v>
      </c>
      <c r="K10" s="8">
        <f t="shared" si="2"/>
        <v>40.864864864864863</v>
      </c>
      <c r="L10" s="11">
        <f t="shared" si="3"/>
        <v>288</v>
      </c>
    </row>
    <row r="11" spans="1:12">
      <c r="A11" s="3" t="s">
        <v>23</v>
      </c>
      <c r="B11" s="4" t="s">
        <v>24</v>
      </c>
      <c r="C11" s="5">
        <v>46219</v>
      </c>
      <c r="D11" s="6">
        <v>668</v>
      </c>
      <c r="E11" s="7">
        <v>8</v>
      </c>
      <c r="F11" s="8">
        <f>IF(E11=0,0,D11/E11)</f>
        <v>83.5</v>
      </c>
      <c r="G11" s="9">
        <f t="shared" si="0"/>
        <v>1.6044277360066834</v>
      </c>
      <c r="H11" s="10">
        <f t="shared" si="1"/>
        <v>487.74603174603175</v>
      </c>
      <c r="I11" s="10">
        <v>38</v>
      </c>
      <c r="J11" s="6">
        <v>1.84</v>
      </c>
      <c r="K11" s="8">
        <f t="shared" si="2"/>
        <v>52.043478260869563</v>
      </c>
      <c r="L11" s="11">
        <f t="shared" si="3"/>
        <v>304</v>
      </c>
    </row>
    <row r="12" spans="1:12">
      <c r="A12" s="33" t="s">
        <v>25</v>
      </c>
      <c r="B12" s="4" t="s">
        <v>26</v>
      </c>
      <c r="C12" s="5">
        <v>46219</v>
      </c>
      <c r="D12" s="6">
        <v>452</v>
      </c>
      <c r="E12" s="34">
        <v>8</v>
      </c>
      <c r="F12" s="8">
        <f>IF(E12=0,0,D12/E12)</f>
        <v>56.5</v>
      </c>
      <c r="G12" s="35">
        <f>IF(E12=0,0,SUMPRODUCT(F12:F13,J12:J13)/(I12*2.52))</f>
        <v>0.51848370927318288</v>
      </c>
      <c r="H12" s="36">
        <f t="shared" si="1"/>
        <v>157.61904761904759</v>
      </c>
      <c r="I12" s="36">
        <v>38</v>
      </c>
      <c r="J12" s="6">
        <v>0.85</v>
      </c>
      <c r="K12" s="8">
        <f t="shared" si="2"/>
        <v>112.65882352941176</v>
      </c>
      <c r="L12" s="11">
        <f t="shared" si="3"/>
        <v>304</v>
      </c>
    </row>
    <row r="13" spans="1:12">
      <c r="A13" s="33"/>
      <c r="B13" s="4" t="s">
        <v>27</v>
      </c>
      <c r="C13" s="5">
        <v>46232</v>
      </c>
      <c r="D13" s="6">
        <v>20</v>
      </c>
      <c r="E13" s="34"/>
      <c r="F13" s="8">
        <f>IF(E12=0,0,D13/E12)</f>
        <v>2.5</v>
      </c>
      <c r="G13" s="35"/>
      <c r="H13" s="36"/>
      <c r="I13" s="36"/>
      <c r="J13" s="6">
        <v>0.65</v>
      </c>
      <c r="K13" s="8">
        <f>2.52/J13*I12</f>
        <v>147.32307692307691</v>
      </c>
      <c r="L13" s="11"/>
    </row>
    <row r="14" spans="1:12">
      <c r="A14" s="33" t="s">
        <v>28</v>
      </c>
      <c r="B14" s="4" t="s">
        <v>29</v>
      </c>
      <c r="C14" s="5">
        <v>46191</v>
      </c>
      <c r="D14" s="6">
        <v>1230</v>
      </c>
      <c r="E14" s="34">
        <v>8</v>
      </c>
      <c r="F14" s="8">
        <f>IF(E14=0,0,D14/E14)</f>
        <v>153.75</v>
      </c>
      <c r="G14" s="35">
        <f>IF(E14=0,0,SUMPRODUCT(F14:F15,J14:J15)/(I14*2.52))</f>
        <v>1.775669642857143</v>
      </c>
      <c r="H14" s="36">
        <f>G14*I14*E14</f>
        <v>511.39285714285717</v>
      </c>
      <c r="I14" s="36">
        <v>36</v>
      </c>
      <c r="J14" s="6">
        <v>0.96</v>
      </c>
      <c r="K14" s="8">
        <f>2.52/J14*I14</f>
        <v>94.5</v>
      </c>
      <c r="L14" s="11">
        <f>E14*I14</f>
        <v>288</v>
      </c>
    </row>
    <row r="15" spans="1:12">
      <c r="A15" s="33"/>
      <c r="B15" s="4" t="s">
        <v>29</v>
      </c>
      <c r="C15" s="5">
        <v>46191</v>
      </c>
      <c r="D15" s="6">
        <v>109</v>
      </c>
      <c r="E15" s="34"/>
      <c r="F15" s="8">
        <f>IF(E14=0,0,D15/E14)</f>
        <v>13.625</v>
      </c>
      <c r="G15" s="35"/>
      <c r="H15" s="36"/>
      <c r="I15" s="36"/>
      <c r="J15" s="6">
        <v>0.99</v>
      </c>
      <c r="K15" s="8">
        <f>2.52/J15*I14</f>
        <v>91.63636363636364</v>
      </c>
      <c r="L15" s="11"/>
    </row>
    <row r="16" spans="1:12">
      <c r="A16" s="3" t="s">
        <v>30</v>
      </c>
      <c r="B16" s="4" t="s">
        <v>31</v>
      </c>
      <c r="C16" s="5">
        <v>46157</v>
      </c>
      <c r="D16" s="6">
        <v>1280</v>
      </c>
      <c r="E16" s="7">
        <v>8</v>
      </c>
      <c r="F16" s="8">
        <f>IF(E16=0,0,D16/E16)</f>
        <v>160</v>
      </c>
      <c r="G16" s="9">
        <f>IF(E16=0,0,SUMPRODUCT(F16:F16,J16:J16)/(I16*2.52))</f>
        <v>1.9047619047619049</v>
      </c>
      <c r="H16" s="10">
        <f>G16*I16*E16</f>
        <v>609.52380952380952</v>
      </c>
      <c r="I16" s="10">
        <v>40</v>
      </c>
      <c r="J16" s="6">
        <v>1.2</v>
      </c>
      <c r="K16" s="8">
        <f>2.52/J16*I16</f>
        <v>84</v>
      </c>
      <c r="L16" s="11">
        <f>E16*I16</f>
        <v>320</v>
      </c>
    </row>
    <row r="17" spans="1:12">
      <c r="A17" s="33" t="s">
        <v>32</v>
      </c>
      <c r="B17" s="4" t="s">
        <v>33</v>
      </c>
      <c r="C17" s="5">
        <v>46154</v>
      </c>
      <c r="D17" s="6">
        <v>511</v>
      </c>
      <c r="E17" s="34">
        <v>8</v>
      </c>
      <c r="F17" s="8">
        <f>IF(E17=0,0,D17/E17)</f>
        <v>63.875</v>
      </c>
      <c r="G17" s="35">
        <f>IF(E17=0,0,SUMPRODUCT(F17:F18,J17:J18)/(I17*2.52))</f>
        <v>2.3388787138787142</v>
      </c>
      <c r="H17" s="36">
        <f>G17*I17*E17</f>
        <v>729.73015873015879</v>
      </c>
      <c r="I17" s="36">
        <v>39</v>
      </c>
      <c r="J17" s="6">
        <v>2.33</v>
      </c>
      <c r="K17" s="8">
        <f>2.52/J17*I17</f>
        <v>42.180257510729611</v>
      </c>
      <c r="L17" s="11">
        <f>E17*I17</f>
        <v>312</v>
      </c>
    </row>
    <row r="18" spans="1:12">
      <c r="A18" s="33"/>
      <c r="B18" s="4" t="s">
        <v>33</v>
      </c>
      <c r="C18" s="5">
        <v>46154</v>
      </c>
      <c r="D18" s="6">
        <v>269</v>
      </c>
      <c r="E18" s="34"/>
      <c r="F18" s="8">
        <f>IF(E17=0,0,D18/E17)</f>
        <v>33.625</v>
      </c>
      <c r="G18" s="35"/>
      <c r="H18" s="36"/>
      <c r="I18" s="36"/>
      <c r="J18" s="6">
        <v>2.41</v>
      </c>
      <c r="K18" s="8">
        <f>2.52/J18*I17</f>
        <v>40.780082987551864</v>
      </c>
      <c r="L18" s="11"/>
    </row>
    <row r="19" spans="1:12">
      <c r="A19" s="33" t="s">
        <v>34</v>
      </c>
      <c r="B19" s="4" t="s">
        <v>35</v>
      </c>
      <c r="C19" s="5">
        <v>46221</v>
      </c>
      <c r="D19" s="6">
        <v>21</v>
      </c>
      <c r="E19" s="34">
        <v>10</v>
      </c>
      <c r="F19" s="8">
        <f>IF(E19=0,0,D19/E19)</f>
        <v>2.1</v>
      </c>
      <c r="G19" s="35">
        <f>IF(E19=0,0,SUMPRODUCT(F19:F21,J19:J21)/(I19*2.52))</f>
        <v>0.84702380952380962</v>
      </c>
      <c r="H19" s="36">
        <f>G19*I19*E19</f>
        <v>321.86904761904765</v>
      </c>
      <c r="I19" s="36">
        <v>38</v>
      </c>
      <c r="J19" s="6">
        <v>1.1000000000000001</v>
      </c>
      <c r="K19" s="8">
        <f>2.52/J19*I19</f>
        <v>87.054545454545448</v>
      </c>
      <c r="L19" s="11">
        <f>E19*I19</f>
        <v>380</v>
      </c>
    </row>
    <row r="20" spans="1:12">
      <c r="A20" s="33"/>
      <c r="B20" s="4" t="s">
        <v>36</v>
      </c>
      <c r="C20" s="5">
        <v>46230</v>
      </c>
      <c r="D20" s="6">
        <v>120</v>
      </c>
      <c r="E20" s="34"/>
      <c r="F20" s="8">
        <f>IF(E19=0,0,D20/E19)</f>
        <v>12</v>
      </c>
      <c r="G20" s="35"/>
      <c r="H20" s="36"/>
      <c r="I20" s="36"/>
      <c r="J20" s="6">
        <v>1.28</v>
      </c>
      <c r="K20" s="8">
        <f>2.52/J20*I19</f>
        <v>74.8125</v>
      </c>
      <c r="L20" s="11"/>
    </row>
    <row r="21" spans="1:12">
      <c r="A21" s="33"/>
      <c r="B21" s="4" t="s">
        <v>37</v>
      </c>
      <c r="C21" s="5">
        <v>46230</v>
      </c>
      <c r="D21" s="6">
        <v>477</v>
      </c>
      <c r="E21" s="34"/>
      <c r="F21" s="8">
        <f>IF(E19=0,0,D21/E19)</f>
        <v>47.7</v>
      </c>
      <c r="G21" s="35"/>
      <c r="H21" s="36"/>
      <c r="I21" s="36"/>
      <c r="J21" s="6">
        <v>1.33</v>
      </c>
      <c r="K21" s="8">
        <f>2.52/J21*I19</f>
        <v>72</v>
      </c>
      <c r="L21" s="11"/>
    </row>
    <row r="22" spans="1:12">
      <c r="A22" s="3" t="s">
        <v>38</v>
      </c>
      <c r="B22" s="4" t="s">
        <v>39</v>
      </c>
      <c r="C22" s="5">
        <v>46220</v>
      </c>
      <c r="D22" s="6">
        <v>762</v>
      </c>
      <c r="E22" s="7">
        <v>8</v>
      </c>
      <c r="F22" s="8">
        <f>IF(E22=0,0,D22/E22)</f>
        <v>95.25</v>
      </c>
      <c r="G22" s="9">
        <f t="shared" ref="G22:G29" si="4">IF(E22=0,0,SUMPRODUCT(F22:F22,J22:J22)/(I22*2.52))</f>
        <v>1.4930059523809525</v>
      </c>
      <c r="H22" s="10">
        <f t="shared" ref="H22:H29" si="5">G22*I22*E22</f>
        <v>477.76190476190482</v>
      </c>
      <c r="I22" s="10">
        <v>40</v>
      </c>
      <c r="J22" s="6">
        <v>1.58</v>
      </c>
      <c r="K22" s="8">
        <f t="shared" ref="K22:K29" si="6">2.52/J22*I22</f>
        <v>63.797468354430372</v>
      </c>
      <c r="L22" s="11">
        <f t="shared" ref="L22:L29" si="7">E22*I22</f>
        <v>320</v>
      </c>
    </row>
    <row r="23" spans="1:12">
      <c r="A23" s="3" t="s">
        <v>40</v>
      </c>
      <c r="B23" s="4" t="s">
        <v>41</v>
      </c>
      <c r="C23" s="5">
        <v>46192</v>
      </c>
      <c r="D23" s="6">
        <v>1203</v>
      </c>
      <c r="E23" s="7">
        <v>8</v>
      </c>
      <c r="F23" s="8">
        <f>IF(E23=0,0,D23/E23)</f>
        <v>150.375</v>
      </c>
      <c r="G23" s="9">
        <f t="shared" si="4"/>
        <v>1.9584859584859586</v>
      </c>
      <c r="H23" s="10">
        <f t="shared" si="5"/>
        <v>611.04761904761904</v>
      </c>
      <c r="I23" s="10">
        <v>39</v>
      </c>
      <c r="J23" s="6">
        <v>1.28</v>
      </c>
      <c r="K23" s="8">
        <f t="shared" si="6"/>
        <v>76.78125</v>
      </c>
      <c r="L23" s="11">
        <f t="shared" si="7"/>
        <v>312</v>
      </c>
    </row>
    <row r="24" spans="1:12">
      <c r="A24" s="3" t="s">
        <v>42</v>
      </c>
      <c r="B24" s="4" t="s">
        <v>16</v>
      </c>
      <c r="C24" s="5">
        <v>46209</v>
      </c>
      <c r="D24" s="6">
        <v>1760</v>
      </c>
      <c r="E24" s="7">
        <v>9</v>
      </c>
      <c r="F24" s="8">
        <f>IF(E24=0,0,D24/E24)</f>
        <v>195.55555555555554</v>
      </c>
      <c r="G24" s="9">
        <f t="shared" si="4"/>
        <v>1.7766638819270397</v>
      </c>
      <c r="H24" s="10">
        <f t="shared" si="5"/>
        <v>607.61904761904759</v>
      </c>
      <c r="I24" s="10">
        <v>38</v>
      </c>
      <c r="J24" s="6">
        <v>0.87</v>
      </c>
      <c r="K24" s="8">
        <f t="shared" si="6"/>
        <v>110.06896551724138</v>
      </c>
      <c r="L24" s="11">
        <f t="shared" si="7"/>
        <v>342</v>
      </c>
    </row>
    <row r="25" spans="1:12">
      <c r="A25" s="3" t="s">
        <v>43</v>
      </c>
      <c r="B25" s="4" t="s">
        <v>16</v>
      </c>
      <c r="C25" s="5">
        <v>46209</v>
      </c>
      <c r="D25" s="6">
        <v>1472</v>
      </c>
      <c r="E25" s="7">
        <v>9</v>
      </c>
      <c r="F25" s="8">
        <f>IF(E25=0,0,D25/E25)</f>
        <v>163.55555555555554</v>
      </c>
      <c r="G25" s="9">
        <f t="shared" si="4"/>
        <v>1.5684891240446794</v>
      </c>
      <c r="H25" s="10">
        <f t="shared" si="5"/>
        <v>508.19047619047615</v>
      </c>
      <c r="I25" s="10">
        <v>36</v>
      </c>
      <c r="J25" s="6">
        <v>0.87</v>
      </c>
      <c r="K25" s="8">
        <f t="shared" si="6"/>
        <v>104.27586206896552</v>
      </c>
      <c r="L25" s="11">
        <f t="shared" si="7"/>
        <v>324</v>
      </c>
    </row>
    <row r="26" spans="1:12">
      <c r="A26" s="3" t="s">
        <v>44</v>
      </c>
      <c r="B26" s="4" t="s">
        <v>21</v>
      </c>
      <c r="C26" s="5">
        <v>46155</v>
      </c>
      <c r="D26" s="6">
        <v>725</v>
      </c>
      <c r="E26" s="7">
        <v>8</v>
      </c>
      <c r="F26" s="8">
        <f>IF(E26=0,0,D26/E26)</f>
        <v>90.625</v>
      </c>
      <c r="G26" s="9">
        <f t="shared" si="4"/>
        <v>2.0470848595848596</v>
      </c>
      <c r="H26" s="10">
        <f t="shared" si="5"/>
        <v>638.69047619047626</v>
      </c>
      <c r="I26" s="10">
        <v>39</v>
      </c>
      <c r="J26" s="6">
        <v>2.2200000000000002</v>
      </c>
      <c r="K26" s="8">
        <f t="shared" si="6"/>
        <v>44.270270270270267</v>
      </c>
      <c r="L26" s="11">
        <f t="shared" si="7"/>
        <v>312</v>
      </c>
    </row>
    <row r="27" spans="1:12">
      <c r="A27" s="3" t="s">
        <v>45</v>
      </c>
      <c r="B27" s="4" t="s">
        <v>16</v>
      </c>
      <c r="C27" s="5">
        <v>46219</v>
      </c>
      <c r="D27" s="6">
        <v>1527</v>
      </c>
      <c r="E27" s="7">
        <v>9</v>
      </c>
      <c r="F27" s="8">
        <f>IF(E27=0,0,D27/E27)</f>
        <v>169.66666666666666</v>
      </c>
      <c r="G27" s="9">
        <f t="shared" si="4"/>
        <v>1.5414578111946531</v>
      </c>
      <c r="H27" s="10">
        <f t="shared" si="5"/>
        <v>527.17857142857133</v>
      </c>
      <c r="I27" s="10">
        <v>38</v>
      </c>
      <c r="J27" s="6">
        <v>0.87</v>
      </c>
      <c r="K27" s="8">
        <f t="shared" si="6"/>
        <v>110.06896551724138</v>
      </c>
      <c r="L27" s="11">
        <f t="shared" si="7"/>
        <v>342</v>
      </c>
    </row>
    <row r="28" spans="1:12">
      <c r="A28" s="3" t="s">
        <v>46</v>
      </c>
      <c r="B28" s="4" t="s">
        <v>16</v>
      </c>
      <c r="C28" s="5">
        <v>46192</v>
      </c>
      <c r="D28" s="6">
        <v>1851</v>
      </c>
      <c r="E28" s="7">
        <v>9</v>
      </c>
      <c r="F28" s="8">
        <f>IF(E28=0,0,D28/E28)</f>
        <v>205.66666666666666</v>
      </c>
      <c r="G28" s="9">
        <f t="shared" si="4"/>
        <v>1.8206145706145704</v>
      </c>
      <c r="H28" s="10">
        <f t="shared" si="5"/>
        <v>639.03571428571422</v>
      </c>
      <c r="I28" s="10">
        <v>39</v>
      </c>
      <c r="J28" s="6">
        <v>0.87</v>
      </c>
      <c r="K28" s="8">
        <f t="shared" si="6"/>
        <v>112.96551724137932</v>
      </c>
      <c r="L28" s="11">
        <f t="shared" si="7"/>
        <v>351</v>
      </c>
    </row>
    <row r="29" spans="1:12">
      <c r="A29" s="3" t="s">
        <v>47</v>
      </c>
      <c r="B29" s="4" t="s">
        <v>48</v>
      </c>
      <c r="C29" s="5">
        <v>46219</v>
      </c>
      <c r="D29" s="6">
        <v>458</v>
      </c>
      <c r="E29" s="7">
        <v>10</v>
      </c>
      <c r="F29" s="8">
        <f>IF(E29=0,0,D29/E29)</f>
        <v>45.8</v>
      </c>
      <c r="G29" s="9">
        <f t="shared" si="4"/>
        <v>0.97397232397232392</v>
      </c>
      <c r="H29" s="10">
        <f t="shared" si="5"/>
        <v>379.84920634920633</v>
      </c>
      <c r="I29" s="10">
        <v>39</v>
      </c>
      <c r="J29" s="6">
        <v>2.09</v>
      </c>
      <c r="K29" s="8">
        <f t="shared" si="6"/>
        <v>47.023923444976077</v>
      </c>
      <c r="L29" s="11">
        <f t="shared" si="7"/>
        <v>390</v>
      </c>
    </row>
    <row r="30" spans="1:12">
      <c r="A30" s="27" t="s">
        <v>49</v>
      </c>
      <c r="B30" s="28"/>
      <c r="C30" s="29"/>
      <c r="D30" s="12">
        <f>SUM(D5:D29)</f>
        <v>21104</v>
      </c>
      <c r="E30" s="13">
        <f>SUM(E5:E29)</f>
        <v>170</v>
      </c>
      <c r="F30" s="14"/>
      <c r="G30" s="15">
        <f>SUM(H5:H29)/L30</f>
        <v>1.5878221552744736</v>
      </c>
      <c r="H30" s="12"/>
      <c r="I30" s="12">
        <f>SUM(I5:I29)</f>
        <v>759</v>
      </c>
      <c r="J30" s="12"/>
      <c r="K30" s="14"/>
      <c r="L30" s="16">
        <f>SUM(L5:L29)</f>
        <v>6449</v>
      </c>
    </row>
    <row r="31" spans="1:12">
      <c r="A31" s="17"/>
      <c r="B31" s="6"/>
      <c r="C31" s="5"/>
      <c r="D31" s="6"/>
      <c r="E31" s="18"/>
      <c r="F31" s="8"/>
      <c r="G31" s="19"/>
      <c r="H31" s="6"/>
      <c r="I31" s="6"/>
      <c r="J31" s="6"/>
      <c r="K31" s="8"/>
      <c r="L31" s="11"/>
    </row>
    <row r="32" spans="1:12" ht="13.5" thickBot="1">
      <c r="A32" s="30" t="s">
        <v>50</v>
      </c>
      <c r="B32" s="31"/>
      <c r="C32" s="32"/>
      <c r="D32" s="20">
        <f>SUMIF(A5:A31, "&lt;&gt;Summary", D5:D31)</f>
        <v>21104</v>
      </c>
      <c r="E32" s="21">
        <f>SUMIF(A5:A31, "&lt;&gt;Summary", E5:E31)</f>
        <v>170</v>
      </c>
      <c r="F32" s="22"/>
      <c r="G32" s="23">
        <f>SUMIF(A5:A31, "&lt;&gt;Summary", H5:H31)/L32</f>
        <v>1.5878221552744736</v>
      </c>
      <c r="H32" s="20"/>
      <c r="I32" s="20">
        <f>SUMIF(A5:A31, "&lt;&gt;Summary", I5:I31)</f>
        <v>759</v>
      </c>
      <c r="J32" s="20"/>
      <c r="K32" s="22"/>
      <c r="L32" s="24">
        <f>SUMIF(A5:A31, "&lt;&gt;Summary", L5:L31)</f>
        <v>6449</v>
      </c>
    </row>
    <row r="33" spans="3:4" ht="13.5" thickTop="1"/>
    <row r="34" spans="3:4">
      <c r="C34" s="25" t="s">
        <v>51</v>
      </c>
      <c r="D34" s="26">
        <f>SUM(H5:H9)/SUM(L5:L9)</f>
        <v>1.5882122507122509</v>
      </c>
    </row>
    <row r="35" spans="3:4">
      <c r="C35" s="25" t="s">
        <v>52</v>
      </c>
      <c r="D35" s="26">
        <f>SUM(H10:H16)/SUM(L10:L16)</f>
        <v>1.5434054162445119</v>
      </c>
    </row>
    <row r="36" spans="3:4">
      <c r="C36" s="25" t="s">
        <v>53</v>
      </c>
      <c r="D36" s="26">
        <f>SUM(H17:H24)/SUM(L17:L24)</f>
        <v>1.6494764572495668</v>
      </c>
    </row>
    <row r="37" spans="3:4">
      <c r="C37" s="25" t="s">
        <v>54</v>
      </c>
      <c r="D37" s="26">
        <f>SUM(H25:H29)/SUM(L25:L29)</f>
        <v>1.5665761747786178</v>
      </c>
    </row>
  </sheetData>
  <mergeCells count="3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4:A15"/>
    <mergeCell ref="E14:E15"/>
    <mergeCell ref="G14:G15"/>
    <mergeCell ref="H14:H15"/>
    <mergeCell ref="I14:I15"/>
    <mergeCell ref="A12:A13"/>
    <mergeCell ref="E12:E13"/>
    <mergeCell ref="G12:G13"/>
    <mergeCell ref="H12:H13"/>
    <mergeCell ref="I12:I13"/>
    <mergeCell ref="H17:H18"/>
    <mergeCell ref="I17:I18"/>
    <mergeCell ref="A19:A21"/>
    <mergeCell ref="E19:E21"/>
    <mergeCell ref="G19:G21"/>
    <mergeCell ref="H19:H21"/>
    <mergeCell ref="I19:I21"/>
    <mergeCell ref="A30:C30"/>
    <mergeCell ref="A32:C32"/>
    <mergeCell ref="A17:A18"/>
    <mergeCell ref="E17:E18"/>
    <mergeCell ref="G17:G18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2026-07-31T01:32:06Z</cp:lastPrinted>
  <dcterms:created xsi:type="dcterms:W3CDTF">2026-07-31T00:29:45Z</dcterms:created>
  <dcterms:modified xsi:type="dcterms:W3CDTF">2026-07-31T02:44:25Z</dcterms:modified>
</cp:coreProperties>
</file>