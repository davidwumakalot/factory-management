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F20" i="1"/>
  <c r="F17"/>
  <c r="E33"/>
  <c r="F6"/>
  <c r="F7"/>
  <c r="F8"/>
  <c r="F33" s="1"/>
  <c r="F9"/>
  <c r="F10"/>
  <c r="F11"/>
  <c r="F12"/>
  <c r="F13"/>
  <c r="F14"/>
  <c r="F15"/>
  <c r="F16"/>
  <c r="F19"/>
  <c r="F22"/>
  <c r="F23"/>
  <c r="F24"/>
  <c r="F25"/>
  <c r="F26"/>
  <c r="F27"/>
  <c r="F28"/>
  <c r="F29"/>
  <c r="F30"/>
  <c r="F31"/>
  <c r="F32"/>
  <c r="F5"/>
  <c r="D40"/>
  <c r="D39"/>
  <c r="D38"/>
  <c r="D37"/>
  <c r="O35" l="1"/>
  <c r="I35" s="1"/>
  <c r="L35"/>
  <c r="G35"/>
  <c r="D35"/>
  <c r="O33"/>
  <c r="L33"/>
  <c r="I33"/>
  <c r="G33"/>
  <c r="D33"/>
  <c r="O31"/>
  <c r="K31"/>
  <c r="I31"/>
  <c r="N32"/>
  <c r="H32"/>
  <c r="N31"/>
  <c r="H31"/>
  <c r="O30"/>
  <c r="K30"/>
  <c r="I30"/>
  <c r="N30"/>
  <c r="H30"/>
  <c r="O29"/>
  <c r="K29"/>
  <c r="I29"/>
  <c r="N29"/>
  <c r="H29"/>
  <c r="O28"/>
  <c r="K28"/>
  <c r="I28"/>
  <c r="N28"/>
  <c r="H28"/>
  <c r="O27"/>
  <c r="K27"/>
  <c r="I27"/>
  <c r="N27"/>
  <c r="H27"/>
  <c r="O26"/>
  <c r="K26"/>
  <c r="I26"/>
  <c r="N26"/>
  <c r="H26"/>
  <c r="O25"/>
  <c r="K25"/>
  <c r="I25"/>
  <c r="N25"/>
  <c r="H25"/>
  <c r="O24"/>
  <c r="K24"/>
  <c r="I24"/>
  <c r="N24"/>
  <c r="H24"/>
  <c r="O22"/>
  <c r="K22"/>
  <c r="I22"/>
  <c r="N23"/>
  <c r="H23"/>
  <c r="N22"/>
  <c r="H22"/>
  <c r="O20"/>
  <c r="K20"/>
  <c r="I20"/>
  <c r="N21"/>
  <c r="H21"/>
  <c r="N20"/>
  <c r="H20"/>
  <c r="O19"/>
  <c r="K19"/>
  <c r="I19"/>
  <c r="N19"/>
  <c r="H19"/>
  <c r="O16"/>
  <c r="K16"/>
  <c r="I16"/>
  <c r="N18"/>
  <c r="H18"/>
  <c r="N17"/>
  <c r="H17"/>
  <c r="N16"/>
  <c r="H16"/>
  <c r="O14"/>
  <c r="K14"/>
  <c r="I14"/>
  <c r="N15"/>
  <c r="H15"/>
  <c r="N14"/>
  <c r="H14"/>
  <c r="O12"/>
  <c r="K12"/>
  <c r="I12"/>
  <c r="N13"/>
  <c r="H13"/>
  <c r="N12"/>
  <c r="H12"/>
  <c r="O11"/>
  <c r="K11"/>
  <c r="I11"/>
  <c r="N11"/>
  <c r="H11"/>
  <c r="O10"/>
  <c r="K10"/>
  <c r="I10"/>
  <c r="N10"/>
  <c r="H10"/>
  <c r="O9"/>
  <c r="K9"/>
  <c r="I9"/>
  <c r="N9"/>
  <c r="H9"/>
  <c r="O8"/>
  <c r="K8"/>
  <c r="I8"/>
  <c r="N8"/>
  <c r="H8"/>
  <c r="O7"/>
  <c r="K7"/>
  <c r="I7"/>
  <c r="N7"/>
  <c r="H7"/>
  <c r="O5"/>
  <c r="K5"/>
  <c r="I5"/>
  <c r="N6"/>
  <c r="H6"/>
  <c r="N5"/>
  <c r="H5"/>
</calcChain>
</file>

<file path=xl/sharedStrings.xml><?xml version="1.0" encoding="utf-8"?>
<sst xmlns="http://schemas.openxmlformats.org/spreadsheetml/2006/main" count="70" uniqueCount="59">
  <si>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</si>
  <si>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</si>
  <si>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</si>
  <si>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</si>
  <si>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</si>
  <si>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</si>
  <si>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</si>
  <si>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</si>
  <si>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</si>
  <si>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</si>
  <si>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</si>
  <si>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</si>
  <si>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</si>
  <si>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</si>
  <si>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</si>
  <si>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K86W2L_C426IND</t>
  </si>
  <si>
    <t>5-02</t>
  </si>
  <si>
    <t>5-03</t>
  </si>
  <si>
    <t>319260007</t>
  </si>
  <si>
    <t>5-04</t>
  </si>
  <si>
    <t>5-05</t>
  </si>
  <si>
    <t>W98Z8Z_C426IND</t>
  </si>
  <si>
    <t>5-06</t>
  </si>
  <si>
    <t>5-07</t>
  </si>
  <si>
    <t>K881_FA26</t>
  </si>
  <si>
    <t>LK881_FA26</t>
  </si>
  <si>
    <t>5-08</t>
  </si>
  <si>
    <t>319260006</t>
  </si>
  <si>
    <t>ST841_FA26</t>
  </si>
  <si>
    <t>5-09</t>
  </si>
  <si>
    <t>ZC6FR420R/P</t>
  </si>
  <si>
    <t>5-10</t>
  </si>
  <si>
    <t>ZS5FR410_FA26</t>
  </si>
  <si>
    <t>5-11</t>
  </si>
  <si>
    <t>L0R516_C426IND</t>
  </si>
  <si>
    <t>5-12</t>
  </si>
  <si>
    <t>9K4MX7_C426</t>
  </si>
  <si>
    <t>K864_FA26</t>
  </si>
  <si>
    <t>5-13</t>
  </si>
  <si>
    <t>MX6FK108_HO26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</si>
  <si>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</si>
  <si>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</si>
  <si>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</si>
  <si>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</si>
  <si>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</si>
  <si>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</si>
  <si>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</si>
  <si>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</si>
  <si>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WAX210_Q426</t>
  </si>
  <si>
    <t>MAX233402_Q426</t>
  </si>
  <si>
    <t>Summary</t>
  </si>
  <si>
    <t>Grand Total</t>
  </si>
  <si>
    <t>LINE 1-5</t>
  </si>
  <si>
    <t>LINE 6-10</t>
  </si>
  <si>
    <t>LINE 11-15</t>
  </si>
  <si>
    <t>LINE 16-20</t>
  </si>
  <si>
    <t>EQC</t>
  </si>
  <si>
    <t>SELISIH</t>
  </si>
  <si>
    <t>PERMINTAAN SCHEDULE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</si>
</sst>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5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7" fontId="1" fillId="0" borderId="12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7" fontId="1" fillId="0" borderId="1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tabSelected="1" workbookViewId="0">
      <pane ySplit="4" topLeftCell="A5" activePane="bottomLeft" state="frozen"/>
      <selection pane="bottomLeft" activeCell="C13" sqref="C13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4" width="8.7109375" style="1" customWidth="1"/>
    <col min="5" max="6" width="8.7109375" style="1" hidden="1" customWidth="1"/>
    <col min="7" max="9" width="8.7109375" style="1" customWidth="1"/>
    <col min="10" max="10" width="12.28515625" style="1" customWidth="1"/>
    <col min="11" max="11" width="8.7109375" style="1" customWidth="1"/>
    <col min="12" max="16384" width="9.140625" style="1"/>
  </cols>
  <sheetData>
    <row r="1" spans="1:15">
      <c r="A1" s="1" t="s">
        <v>0</v>
      </c>
      <c r="B1" s="2">
        <v>46239</v>
      </c>
    </row>
    <row r="2" spans="1:15" ht="13.5" thickBot="1"/>
    <row r="3" spans="1:15" ht="13.5" thickTop="1">
      <c r="A3" s="30" t="s">
        <v>1</v>
      </c>
      <c r="B3" s="32" t="s">
        <v>2</v>
      </c>
      <c r="C3" s="32" t="s">
        <v>3</v>
      </c>
      <c r="D3" s="32" t="s">
        <v>4</v>
      </c>
      <c r="E3" s="34" t="s">
        <v>56</v>
      </c>
      <c r="F3" s="34" t="s">
        <v>57</v>
      </c>
      <c r="G3" s="32" t="s">
        <v>5</v>
      </c>
      <c r="H3" s="32" t="s">
        <v>6</v>
      </c>
      <c r="I3" s="32" t="s">
        <v>7</v>
      </c>
      <c r="J3" s="34" t="s">
        <v>58</v>
      </c>
      <c r="K3" s="32" t="s">
        <v>8</v>
      </c>
      <c r="L3" s="32" t="s">
        <v>9</v>
      </c>
      <c r="M3" s="32" t="s">
        <v>10</v>
      </c>
      <c r="N3" s="32" t="s">
        <v>11</v>
      </c>
      <c r="O3" s="28" t="s">
        <v>12</v>
      </c>
    </row>
    <row r="4" spans="1:15">
      <c r="A4" s="31"/>
      <c r="B4" s="33"/>
      <c r="C4" s="33"/>
      <c r="D4" s="33"/>
      <c r="E4" s="35"/>
      <c r="F4" s="35"/>
      <c r="G4" s="33"/>
      <c r="H4" s="33"/>
      <c r="I4" s="33"/>
      <c r="J4" s="35"/>
      <c r="K4" s="33"/>
      <c r="L4" s="33"/>
      <c r="M4" s="33"/>
      <c r="N4" s="33"/>
      <c r="O4" s="29"/>
    </row>
    <row r="5" spans="1:15">
      <c r="A5" s="36" t="s">
        <v>13</v>
      </c>
      <c r="B5" s="3" t="s">
        <v>14</v>
      </c>
      <c r="C5" s="4">
        <v>46220</v>
      </c>
      <c r="D5" s="5">
        <v>95</v>
      </c>
      <c r="E5" s="27">
        <v>96</v>
      </c>
      <c r="F5" s="27">
        <f>D5-E5</f>
        <v>-1</v>
      </c>
      <c r="G5" s="37">
        <v>8</v>
      </c>
      <c r="H5" s="6">
        <f>IF(G5=0,0,D5/G5)</f>
        <v>11.875</v>
      </c>
      <c r="I5" s="38">
        <f>IF(G5=0,0,SUMPRODUCT(H5:H6,M5:M6)/(L5*2.52))</f>
        <v>0.26784373659373661</v>
      </c>
      <c r="J5" s="40">
        <v>0.8</v>
      </c>
      <c r="K5" s="39">
        <f>I5*L5*G5</f>
        <v>79.281746031746039</v>
      </c>
      <c r="L5" s="39">
        <v>37</v>
      </c>
      <c r="M5" s="5">
        <v>1.81</v>
      </c>
      <c r="N5" s="6">
        <f>2.52/M5*L5</f>
        <v>51.513812154696133</v>
      </c>
      <c r="O5" s="7">
        <f>G5*L5</f>
        <v>296</v>
      </c>
    </row>
    <row r="6" spans="1:15">
      <c r="A6" s="36"/>
      <c r="B6" s="3" t="s">
        <v>15</v>
      </c>
      <c r="C6" s="4">
        <v>46238</v>
      </c>
      <c r="D6" s="5">
        <v>32</v>
      </c>
      <c r="E6" s="27">
        <v>32</v>
      </c>
      <c r="F6" s="27">
        <f t="shared" ref="F6:F32" si="0">D6-E6</f>
        <v>0</v>
      </c>
      <c r="G6" s="37"/>
      <c r="H6" s="6">
        <f>IF(G5=0,0,D6/G5)</f>
        <v>4</v>
      </c>
      <c r="I6" s="38"/>
      <c r="J6" s="41"/>
      <c r="K6" s="39"/>
      <c r="L6" s="39"/>
      <c r="M6" s="5">
        <v>0.87</v>
      </c>
      <c r="N6" s="6">
        <f>2.52/M6*L5</f>
        <v>107.17241379310344</v>
      </c>
      <c r="O6" s="7"/>
    </row>
    <row r="7" spans="1:15">
      <c r="A7" s="8" t="s">
        <v>16</v>
      </c>
      <c r="B7" s="3" t="s">
        <v>15</v>
      </c>
      <c r="C7" s="4">
        <v>46198</v>
      </c>
      <c r="D7" s="5">
        <v>1434</v>
      </c>
      <c r="E7" s="27">
        <v>1434</v>
      </c>
      <c r="F7" s="27">
        <f t="shared" si="0"/>
        <v>0</v>
      </c>
      <c r="G7" s="9">
        <v>8</v>
      </c>
      <c r="H7" s="6">
        <f t="shared" ref="H7:H12" si="1">IF(G7=0,0,D7/G7)</f>
        <v>179.25</v>
      </c>
      <c r="I7" s="10">
        <f>IF(G7=0,0,SUMPRODUCT(H7:H7,M7:M7)/(L7*2.52))</f>
        <v>1.7681122448979589</v>
      </c>
      <c r="J7" s="10">
        <v>1.75</v>
      </c>
      <c r="K7" s="11">
        <f t="shared" ref="K7:K12" si="2">I7*L7*G7</f>
        <v>495.0714285714285</v>
      </c>
      <c r="L7" s="11">
        <v>35</v>
      </c>
      <c r="M7" s="5">
        <v>0.87</v>
      </c>
      <c r="N7" s="6">
        <f t="shared" ref="N7:N12" si="3">2.52/M7*L7</f>
        <v>101.37931034482759</v>
      </c>
      <c r="O7" s="7">
        <f t="shared" ref="O7:O12" si="4">G7*L7</f>
        <v>280</v>
      </c>
    </row>
    <row r="8" spans="1:15">
      <c r="A8" s="8" t="s">
        <v>17</v>
      </c>
      <c r="B8" s="3" t="s">
        <v>18</v>
      </c>
      <c r="C8" s="4">
        <v>46230</v>
      </c>
      <c r="D8" s="5">
        <v>1277</v>
      </c>
      <c r="E8" s="27">
        <v>1280</v>
      </c>
      <c r="F8" s="27">
        <f t="shared" si="0"/>
        <v>-3</v>
      </c>
      <c r="G8" s="9">
        <v>8</v>
      </c>
      <c r="H8" s="6">
        <f t="shared" si="1"/>
        <v>159.625</v>
      </c>
      <c r="I8" s="10">
        <f>IF(G8=0,0,SUMPRODUCT(H8:H8,M8:M8)/(L8*2.52))</f>
        <v>1.5383361678004535</v>
      </c>
      <c r="J8" s="10">
        <v>1.5</v>
      </c>
      <c r="K8" s="11">
        <f t="shared" si="2"/>
        <v>430.73412698412699</v>
      </c>
      <c r="L8" s="11">
        <v>35</v>
      </c>
      <c r="M8" s="5">
        <v>0.85</v>
      </c>
      <c r="N8" s="6">
        <f t="shared" si="3"/>
        <v>103.76470588235294</v>
      </c>
      <c r="O8" s="7">
        <f t="shared" si="4"/>
        <v>280</v>
      </c>
    </row>
    <row r="9" spans="1:15">
      <c r="A9" s="8" t="s">
        <v>19</v>
      </c>
      <c r="B9" s="3" t="s">
        <v>15</v>
      </c>
      <c r="C9" s="4">
        <v>46219</v>
      </c>
      <c r="D9" s="5">
        <v>1534</v>
      </c>
      <c r="E9" s="27">
        <v>1540</v>
      </c>
      <c r="F9" s="27">
        <f t="shared" si="0"/>
        <v>-6</v>
      </c>
      <c r="G9" s="9">
        <v>8</v>
      </c>
      <c r="H9" s="6">
        <f t="shared" si="1"/>
        <v>191.75</v>
      </c>
      <c r="I9" s="10">
        <f>IF(G9=0,0,SUMPRODUCT(H9:H9,M9:M9)/(L9*2.52))</f>
        <v>1.8914115646258503</v>
      </c>
      <c r="J9" s="10">
        <v>1.85</v>
      </c>
      <c r="K9" s="11">
        <f t="shared" si="2"/>
        <v>529.59523809523807</v>
      </c>
      <c r="L9" s="11">
        <v>35</v>
      </c>
      <c r="M9" s="5">
        <v>0.87</v>
      </c>
      <c r="N9" s="6">
        <f t="shared" si="3"/>
        <v>101.37931034482759</v>
      </c>
      <c r="O9" s="7">
        <f t="shared" si="4"/>
        <v>280</v>
      </c>
    </row>
    <row r="10" spans="1:15">
      <c r="A10" s="8" t="s">
        <v>20</v>
      </c>
      <c r="B10" s="3" t="s">
        <v>21</v>
      </c>
      <c r="C10" s="4">
        <v>46213</v>
      </c>
      <c r="D10" s="5">
        <v>720</v>
      </c>
      <c r="E10" s="27">
        <v>720</v>
      </c>
      <c r="F10" s="27">
        <f t="shared" si="0"/>
        <v>0</v>
      </c>
      <c r="G10" s="9">
        <v>8</v>
      </c>
      <c r="H10" s="6">
        <f t="shared" si="1"/>
        <v>90</v>
      </c>
      <c r="I10" s="10">
        <f>IF(G10=0,0,SUMPRODUCT(H10:H10,M10:M10)/(L10*2.52))</f>
        <v>2.0329670329670328</v>
      </c>
      <c r="J10" s="10">
        <v>2.1</v>
      </c>
      <c r="K10" s="11">
        <f t="shared" si="2"/>
        <v>634.28571428571422</v>
      </c>
      <c r="L10" s="11">
        <v>39</v>
      </c>
      <c r="M10" s="5">
        <v>2.2200000000000002</v>
      </c>
      <c r="N10" s="6">
        <f t="shared" si="3"/>
        <v>44.270270270270267</v>
      </c>
      <c r="O10" s="7">
        <f t="shared" si="4"/>
        <v>312</v>
      </c>
    </row>
    <row r="11" spans="1:15">
      <c r="A11" s="8" t="s">
        <v>22</v>
      </c>
      <c r="B11" s="3" t="s">
        <v>21</v>
      </c>
      <c r="C11" s="4">
        <v>46207</v>
      </c>
      <c r="D11" s="5">
        <v>720</v>
      </c>
      <c r="E11" s="27">
        <v>720</v>
      </c>
      <c r="F11" s="27">
        <f t="shared" si="0"/>
        <v>0</v>
      </c>
      <c r="G11" s="9">
        <v>8</v>
      </c>
      <c r="H11" s="6">
        <f t="shared" si="1"/>
        <v>90</v>
      </c>
      <c r="I11" s="10">
        <f>IF(G11=0,0,SUMPRODUCT(H11:H11,M11:M11)/(L11*2.52))</f>
        <v>2.0864661654135337</v>
      </c>
      <c r="J11" s="10">
        <v>2.0499999999999998</v>
      </c>
      <c r="K11" s="11">
        <f t="shared" si="2"/>
        <v>634.28571428571422</v>
      </c>
      <c r="L11" s="11">
        <v>38</v>
      </c>
      <c r="M11" s="5">
        <v>2.2200000000000002</v>
      </c>
      <c r="N11" s="6">
        <f t="shared" si="3"/>
        <v>43.13513513513513</v>
      </c>
      <c r="O11" s="7">
        <f t="shared" si="4"/>
        <v>304</v>
      </c>
    </row>
    <row r="12" spans="1:15">
      <c r="A12" s="36" t="s">
        <v>23</v>
      </c>
      <c r="B12" s="3" t="s">
        <v>24</v>
      </c>
      <c r="C12" s="4">
        <v>46219</v>
      </c>
      <c r="D12" s="5">
        <v>21</v>
      </c>
      <c r="E12" s="27">
        <v>21</v>
      </c>
      <c r="F12" s="27">
        <f t="shared" si="0"/>
        <v>0</v>
      </c>
      <c r="G12" s="37">
        <v>8</v>
      </c>
      <c r="H12" s="6">
        <f t="shared" si="1"/>
        <v>2.625</v>
      </c>
      <c r="I12" s="38">
        <f>IF(G12=0,0,SUMPRODUCT(H12:H13,M12:M13)/(L12*2.52))</f>
        <v>1.5905649540517961</v>
      </c>
      <c r="J12" s="40">
        <v>1.62</v>
      </c>
      <c r="K12" s="39">
        <f t="shared" si="2"/>
        <v>483.53174603174602</v>
      </c>
      <c r="L12" s="39">
        <v>38</v>
      </c>
      <c r="M12" s="5">
        <v>1.84</v>
      </c>
      <c r="N12" s="6">
        <f t="shared" si="3"/>
        <v>52.043478260869563</v>
      </c>
      <c r="O12" s="7">
        <f t="shared" si="4"/>
        <v>304</v>
      </c>
    </row>
    <row r="13" spans="1:15">
      <c r="A13" s="36"/>
      <c r="B13" s="3" t="s">
        <v>25</v>
      </c>
      <c r="C13" s="4">
        <v>46237</v>
      </c>
      <c r="D13" s="5">
        <v>682</v>
      </c>
      <c r="E13" s="27">
        <v>682</v>
      </c>
      <c r="F13" s="27">
        <f t="shared" si="0"/>
        <v>0</v>
      </c>
      <c r="G13" s="37"/>
      <c r="H13" s="6">
        <f>IF(G12=0,0,D13/G12)</f>
        <v>85.25</v>
      </c>
      <c r="I13" s="38"/>
      <c r="J13" s="41"/>
      <c r="K13" s="39"/>
      <c r="L13" s="39"/>
      <c r="M13" s="5">
        <v>1.73</v>
      </c>
      <c r="N13" s="6">
        <f>2.52/M13*L12</f>
        <v>55.352601156069362</v>
      </c>
      <c r="O13" s="7"/>
    </row>
    <row r="14" spans="1:15">
      <c r="A14" s="36" t="s">
        <v>26</v>
      </c>
      <c r="B14" s="3" t="s">
        <v>27</v>
      </c>
      <c r="C14" s="4">
        <v>46232</v>
      </c>
      <c r="D14" s="5">
        <v>570</v>
      </c>
      <c r="E14" s="27">
        <v>566</v>
      </c>
      <c r="F14" s="27">
        <f t="shared" si="0"/>
        <v>4</v>
      </c>
      <c r="G14" s="37">
        <v>8</v>
      </c>
      <c r="H14" s="6">
        <f>IF(G14=0,0,D14/G14)</f>
        <v>71.25</v>
      </c>
      <c r="I14" s="38">
        <f>IF(G14=0,0,SUMPRODUCT(H14:H15,M14:M15)/(L14*2.52))</f>
        <v>0.48363095238095233</v>
      </c>
      <c r="J14" s="40">
        <v>0.8</v>
      </c>
      <c r="K14" s="39">
        <f>I14*L14*G14</f>
        <v>147.02380952380952</v>
      </c>
      <c r="L14" s="39">
        <v>38</v>
      </c>
      <c r="M14" s="5">
        <v>0.65</v>
      </c>
      <c r="N14" s="6">
        <f>2.52/M14*L14</f>
        <v>147.32307692307691</v>
      </c>
      <c r="O14" s="7">
        <f>G14*L14</f>
        <v>304</v>
      </c>
    </row>
    <row r="15" spans="1:15">
      <c r="A15" s="36"/>
      <c r="B15" s="3" t="s">
        <v>28</v>
      </c>
      <c r="C15" s="4">
        <v>46239</v>
      </c>
      <c r="D15" s="5">
        <v>0</v>
      </c>
      <c r="E15" s="27">
        <v>0</v>
      </c>
      <c r="F15" s="27">
        <f t="shared" si="0"/>
        <v>0</v>
      </c>
      <c r="G15" s="37"/>
      <c r="H15" s="6">
        <f>IF(G14=0,0,D15/G14)</f>
        <v>0</v>
      </c>
      <c r="I15" s="38"/>
      <c r="J15" s="41"/>
      <c r="K15" s="39"/>
      <c r="L15" s="39"/>
      <c r="M15" s="5">
        <v>1.74</v>
      </c>
      <c r="N15" s="6">
        <f>2.52/M15*L14</f>
        <v>55.03448275862069</v>
      </c>
      <c r="O15" s="7"/>
    </row>
    <row r="16" spans="1:15">
      <c r="A16" s="36" t="s">
        <v>29</v>
      </c>
      <c r="B16" s="3" t="s">
        <v>28</v>
      </c>
      <c r="C16" s="4"/>
      <c r="D16" s="5">
        <v>0</v>
      </c>
      <c r="E16" s="27">
        <v>0</v>
      </c>
      <c r="F16" s="27">
        <f t="shared" si="0"/>
        <v>0</v>
      </c>
      <c r="G16" s="37">
        <v>8</v>
      </c>
      <c r="H16" s="6">
        <f>IF(G16=0,0,D16/G16)</f>
        <v>0</v>
      </c>
      <c r="I16" s="38">
        <f>IF(G16=0,0,SUMPRODUCT(H16:H18,M16:M18)/(L16*2.52))</f>
        <v>1.2067648005148006</v>
      </c>
      <c r="J16" s="40">
        <v>1.75</v>
      </c>
      <c r="K16" s="39">
        <f>I16*L16*G16</f>
        <v>357.20238095238096</v>
      </c>
      <c r="L16" s="39">
        <v>37</v>
      </c>
      <c r="M16" s="5">
        <v>1.74</v>
      </c>
      <c r="N16" s="6">
        <f>2.52/M16*L16</f>
        <v>53.586206896551722</v>
      </c>
      <c r="O16" s="7">
        <f>G16*L16</f>
        <v>296</v>
      </c>
    </row>
    <row r="17" spans="1:15">
      <c r="A17" s="36"/>
      <c r="B17" s="3" t="s">
        <v>30</v>
      </c>
      <c r="C17" s="4">
        <v>46191</v>
      </c>
      <c r="D17" s="5">
        <v>883</v>
      </c>
      <c r="E17" s="42">
        <v>936</v>
      </c>
      <c r="F17" s="42">
        <f>D17+D18-E17</f>
        <v>0</v>
      </c>
      <c r="G17" s="37"/>
      <c r="H17" s="6">
        <f>IF(G16=0,0,D17/G16)</f>
        <v>110.375</v>
      </c>
      <c r="I17" s="38"/>
      <c r="J17" s="44"/>
      <c r="K17" s="39"/>
      <c r="L17" s="39"/>
      <c r="M17" s="5">
        <v>0.96</v>
      </c>
      <c r="N17" s="6">
        <f>2.52/M17*L16</f>
        <v>97.125</v>
      </c>
      <c r="O17" s="7"/>
    </row>
    <row r="18" spans="1:15">
      <c r="A18" s="36"/>
      <c r="B18" s="3" t="s">
        <v>30</v>
      </c>
      <c r="C18" s="4">
        <v>46191</v>
      </c>
      <c r="D18" s="5">
        <v>53</v>
      </c>
      <c r="E18" s="43"/>
      <c r="F18" s="43"/>
      <c r="G18" s="37"/>
      <c r="H18" s="6">
        <f>IF(G16=0,0,D18/G16)</f>
        <v>6.625</v>
      </c>
      <c r="I18" s="38"/>
      <c r="J18" s="41"/>
      <c r="K18" s="39"/>
      <c r="L18" s="39"/>
      <c r="M18" s="5">
        <v>0.99</v>
      </c>
      <c r="N18" s="6">
        <f>2.52/M18*L16</f>
        <v>94.181818181818187</v>
      </c>
      <c r="O18" s="7"/>
    </row>
    <row r="19" spans="1:15">
      <c r="A19" s="8" t="s">
        <v>31</v>
      </c>
      <c r="B19" s="3" t="s">
        <v>32</v>
      </c>
      <c r="C19" s="4">
        <v>46157</v>
      </c>
      <c r="D19" s="5">
        <v>1225</v>
      </c>
      <c r="E19" s="27">
        <v>1219</v>
      </c>
      <c r="F19" s="27">
        <f t="shared" si="0"/>
        <v>6</v>
      </c>
      <c r="G19" s="9">
        <v>8</v>
      </c>
      <c r="H19" s="6">
        <f>IF(G19=0,0,D19/G19)</f>
        <v>153.125</v>
      </c>
      <c r="I19" s="10">
        <f>IF(G19=0,0,SUMPRODUCT(H19:H19,M19:M19)/(L19*2.52))</f>
        <v>1.9188596491228069</v>
      </c>
      <c r="J19" s="10">
        <v>1.97</v>
      </c>
      <c r="K19" s="11">
        <f>I19*L19*G19</f>
        <v>583.33333333333326</v>
      </c>
      <c r="L19" s="11">
        <v>38</v>
      </c>
      <c r="M19" s="5">
        <v>1.2</v>
      </c>
      <c r="N19" s="6">
        <f>2.52/M19*L19</f>
        <v>79.8</v>
      </c>
      <c r="O19" s="7">
        <f>G19*L19</f>
        <v>304</v>
      </c>
    </row>
    <row r="20" spans="1:15">
      <c r="A20" s="36" t="s">
        <v>33</v>
      </c>
      <c r="B20" s="3" t="s">
        <v>34</v>
      </c>
      <c r="C20" s="4">
        <v>46154</v>
      </c>
      <c r="D20" s="5">
        <v>590</v>
      </c>
      <c r="E20" s="42">
        <v>727</v>
      </c>
      <c r="F20" s="42">
        <f>D20+D21-E20</f>
        <v>0</v>
      </c>
      <c r="G20" s="37">
        <v>8</v>
      </c>
      <c r="H20" s="6">
        <f>IF(G20=0,0,D20/G20)</f>
        <v>73.75</v>
      </c>
      <c r="I20" s="38">
        <f>IF(G20=0,0,SUMPRODUCT(H20:H21,M20:M21)/(L20*2.52))</f>
        <v>2.2254464285714288</v>
      </c>
      <c r="J20" s="40">
        <v>2.2999999999999998</v>
      </c>
      <c r="K20" s="39">
        <f>I20*L20*G20</f>
        <v>676.53571428571433</v>
      </c>
      <c r="L20" s="39">
        <v>38</v>
      </c>
      <c r="M20" s="5">
        <v>2.33</v>
      </c>
      <c r="N20" s="6">
        <f>2.52/M20*L20</f>
        <v>41.098712446351925</v>
      </c>
      <c r="O20" s="7">
        <f>G20*L20</f>
        <v>304</v>
      </c>
    </row>
    <row r="21" spans="1:15">
      <c r="A21" s="36"/>
      <c r="B21" s="3" t="s">
        <v>34</v>
      </c>
      <c r="C21" s="4">
        <v>46154</v>
      </c>
      <c r="D21" s="5">
        <v>137</v>
      </c>
      <c r="E21" s="43"/>
      <c r="F21" s="43"/>
      <c r="G21" s="37"/>
      <c r="H21" s="6">
        <f>IF(G20=0,0,D21/G20)</f>
        <v>17.125</v>
      </c>
      <c r="I21" s="38"/>
      <c r="J21" s="41"/>
      <c r="K21" s="39"/>
      <c r="L21" s="39"/>
      <c r="M21" s="5">
        <v>2.41</v>
      </c>
      <c r="N21" s="6">
        <f>2.52/M21*L20</f>
        <v>39.73443983402489</v>
      </c>
      <c r="O21" s="7"/>
    </row>
    <row r="22" spans="1:15">
      <c r="A22" s="36" t="s">
        <v>35</v>
      </c>
      <c r="B22" s="3" t="s">
        <v>36</v>
      </c>
      <c r="C22" s="4">
        <v>46221</v>
      </c>
      <c r="D22" s="5">
        <v>19</v>
      </c>
      <c r="E22" s="27">
        <v>0</v>
      </c>
      <c r="F22" s="27">
        <f t="shared" si="0"/>
        <v>19</v>
      </c>
      <c r="G22" s="37">
        <v>8</v>
      </c>
      <c r="H22" s="6">
        <f>IF(G22=0,0,D22/G22)</f>
        <v>2.375</v>
      </c>
      <c r="I22" s="38">
        <f>IF(G22=0,0,SUMPRODUCT(H22:H23,M22:M23)/(L22*2.52))</f>
        <v>1.0342261904761905</v>
      </c>
      <c r="J22" s="40">
        <v>1.1000000000000001</v>
      </c>
      <c r="K22" s="39">
        <f>I22*L22*G22</f>
        <v>314.40476190476193</v>
      </c>
      <c r="L22" s="39">
        <v>38</v>
      </c>
      <c r="M22" s="5">
        <v>1.1000000000000001</v>
      </c>
      <c r="N22" s="6">
        <f>2.52/M22*L22</f>
        <v>87.054545454545448</v>
      </c>
      <c r="O22" s="7">
        <f>G22*L22</f>
        <v>304</v>
      </c>
    </row>
    <row r="23" spans="1:15">
      <c r="A23" s="36"/>
      <c r="B23" s="3" t="s">
        <v>37</v>
      </c>
      <c r="C23" s="4">
        <v>46235</v>
      </c>
      <c r="D23" s="5">
        <v>665</v>
      </c>
      <c r="E23" s="27">
        <v>665</v>
      </c>
      <c r="F23" s="27">
        <f t="shared" si="0"/>
        <v>0</v>
      </c>
      <c r="G23" s="37"/>
      <c r="H23" s="6">
        <f>IF(G22=0,0,D23/G22)</f>
        <v>83.125</v>
      </c>
      <c r="I23" s="38"/>
      <c r="J23" s="41"/>
      <c r="K23" s="39"/>
      <c r="L23" s="39"/>
      <c r="M23" s="5">
        <v>1.1599999999999999</v>
      </c>
      <c r="N23" s="6">
        <f>2.52/M23*L22</f>
        <v>82.551724137931046</v>
      </c>
      <c r="O23" s="7"/>
    </row>
    <row r="24" spans="1:15">
      <c r="A24" s="8" t="s">
        <v>38</v>
      </c>
      <c r="B24" s="3" t="s">
        <v>39</v>
      </c>
      <c r="C24" s="4">
        <v>46220</v>
      </c>
      <c r="D24" s="5">
        <v>770</v>
      </c>
      <c r="E24" s="27">
        <v>770</v>
      </c>
      <c r="F24" s="27">
        <f t="shared" si="0"/>
        <v>0</v>
      </c>
      <c r="G24" s="9">
        <v>8</v>
      </c>
      <c r="H24" s="6">
        <f t="shared" ref="H24:H31" si="5">IF(G24=0,0,D24/G24)</f>
        <v>96.25</v>
      </c>
      <c r="I24" s="10">
        <f t="shared" ref="I24:I30" si="6">IF(G24=0,0,SUMPRODUCT(H24:H24,M24:M24)/(L24*2.52))</f>
        <v>1.5086805555555558</v>
      </c>
      <c r="J24" s="10">
        <v>1.52</v>
      </c>
      <c r="K24" s="11">
        <f t="shared" ref="K24:K31" si="7">I24*L24*G24</f>
        <v>482.77777777777783</v>
      </c>
      <c r="L24" s="11">
        <v>40</v>
      </c>
      <c r="M24" s="5">
        <v>1.58</v>
      </c>
      <c r="N24" s="6">
        <f t="shared" ref="N24:N31" si="8">2.52/M24*L24</f>
        <v>63.797468354430372</v>
      </c>
      <c r="O24" s="7">
        <f t="shared" ref="O24:O31" si="9">G24*L24</f>
        <v>320</v>
      </c>
    </row>
    <row r="25" spans="1:15">
      <c r="A25" s="8" t="s">
        <v>40</v>
      </c>
      <c r="B25" s="3" t="s">
        <v>41</v>
      </c>
      <c r="C25" s="4">
        <v>46192</v>
      </c>
      <c r="D25" s="5">
        <v>1221</v>
      </c>
      <c r="E25" s="27">
        <v>1221</v>
      </c>
      <c r="F25" s="27">
        <f t="shared" si="0"/>
        <v>0</v>
      </c>
      <c r="G25" s="9">
        <v>8</v>
      </c>
      <c r="H25" s="6">
        <f t="shared" si="5"/>
        <v>152.625</v>
      </c>
      <c r="I25" s="10">
        <f t="shared" si="6"/>
        <v>2.0401002506265664</v>
      </c>
      <c r="J25" s="10">
        <v>1.9</v>
      </c>
      <c r="K25" s="11">
        <f t="shared" si="7"/>
        <v>620.19047619047615</v>
      </c>
      <c r="L25" s="11">
        <v>38</v>
      </c>
      <c r="M25" s="5">
        <v>1.28</v>
      </c>
      <c r="N25" s="6">
        <f t="shared" si="8"/>
        <v>74.8125</v>
      </c>
      <c r="O25" s="7">
        <f t="shared" si="9"/>
        <v>304</v>
      </c>
    </row>
    <row r="26" spans="1:15">
      <c r="A26" s="8" t="s">
        <v>42</v>
      </c>
      <c r="B26" s="3" t="s">
        <v>15</v>
      </c>
      <c r="C26" s="4">
        <v>46209</v>
      </c>
      <c r="D26" s="5">
        <v>1593</v>
      </c>
      <c r="E26" s="27">
        <v>1601</v>
      </c>
      <c r="F26" s="27">
        <f t="shared" si="0"/>
        <v>-8</v>
      </c>
      <c r="G26" s="9">
        <v>8</v>
      </c>
      <c r="H26" s="6">
        <f t="shared" si="5"/>
        <v>199.125</v>
      </c>
      <c r="I26" s="10">
        <f t="shared" si="6"/>
        <v>1.809093045112782</v>
      </c>
      <c r="J26" s="10">
        <v>1.8</v>
      </c>
      <c r="K26" s="11">
        <f t="shared" si="7"/>
        <v>549.96428571428578</v>
      </c>
      <c r="L26" s="11">
        <v>38</v>
      </c>
      <c r="M26" s="5">
        <v>0.87</v>
      </c>
      <c r="N26" s="6">
        <f t="shared" si="8"/>
        <v>110.06896551724138</v>
      </c>
      <c r="O26" s="7">
        <f t="shared" si="9"/>
        <v>304</v>
      </c>
    </row>
    <row r="27" spans="1:15">
      <c r="A27" s="8" t="s">
        <v>43</v>
      </c>
      <c r="B27" s="3" t="s">
        <v>15</v>
      </c>
      <c r="C27" s="4">
        <v>46209</v>
      </c>
      <c r="D27" s="5">
        <v>1500</v>
      </c>
      <c r="E27" s="27">
        <v>1500</v>
      </c>
      <c r="F27" s="27">
        <f t="shared" si="0"/>
        <v>0</v>
      </c>
      <c r="G27" s="9">
        <v>8</v>
      </c>
      <c r="H27" s="6">
        <f t="shared" si="5"/>
        <v>187.5</v>
      </c>
      <c r="I27" s="10">
        <f t="shared" si="6"/>
        <v>1.6597985347985347</v>
      </c>
      <c r="J27" s="10">
        <v>1.7</v>
      </c>
      <c r="K27" s="11">
        <f t="shared" si="7"/>
        <v>517.85714285714278</v>
      </c>
      <c r="L27" s="11">
        <v>39</v>
      </c>
      <c r="M27" s="5">
        <v>0.87</v>
      </c>
      <c r="N27" s="6">
        <f t="shared" si="8"/>
        <v>112.96551724137932</v>
      </c>
      <c r="O27" s="7">
        <f t="shared" si="9"/>
        <v>312</v>
      </c>
    </row>
    <row r="28" spans="1:15">
      <c r="A28" s="8" t="s">
        <v>44</v>
      </c>
      <c r="B28" s="3" t="s">
        <v>21</v>
      </c>
      <c r="C28" s="4">
        <v>46155</v>
      </c>
      <c r="D28" s="5">
        <v>735</v>
      </c>
      <c r="E28" s="27">
        <v>735</v>
      </c>
      <c r="F28" s="27">
        <f t="shared" si="0"/>
        <v>0</v>
      </c>
      <c r="G28" s="9">
        <v>8</v>
      </c>
      <c r="H28" s="6">
        <f t="shared" si="5"/>
        <v>91.875</v>
      </c>
      <c r="I28" s="10">
        <f t="shared" si="6"/>
        <v>2.0753205128205128</v>
      </c>
      <c r="J28" s="10">
        <v>2.11</v>
      </c>
      <c r="K28" s="11">
        <f t="shared" si="7"/>
        <v>647.5</v>
      </c>
      <c r="L28" s="11">
        <v>39</v>
      </c>
      <c r="M28" s="5">
        <v>2.2200000000000002</v>
      </c>
      <c r="N28" s="6">
        <f t="shared" si="8"/>
        <v>44.270270270270267</v>
      </c>
      <c r="O28" s="7">
        <f t="shared" si="9"/>
        <v>312</v>
      </c>
    </row>
    <row r="29" spans="1:15">
      <c r="A29" s="8" t="s">
        <v>45</v>
      </c>
      <c r="B29" s="3" t="s">
        <v>15</v>
      </c>
      <c r="C29" s="4">
        <v>46219</v>
      </c>
      <c r="D29" s="5">
        <v>1293</v>
      </c>
      <c r="E29" s="27">
        <v>1308</v>
      </c>
      <c r="F29" s="27">
        <f t="shared" si="0"/>
        <v>-15</v>
      </c>
      <c r="G29" s="9">
        <v>8</v>
      </c>
      <c r="H29" s="6">
        <f t="shared" si="5"/>
        <v>161.625</v>
      </c>
      <c r="I29" s="10">
        <f t="shared" si="6"/>
        <v>1.4683975563909775</v>
      </c>
      <c r="J29" s="10">
        <v>1.62</v>
      </c>
      <c r="K29" s="11">
        <f t="shared" si="7"/>
        <v>446.39285714285717</v>
      </c>
      <c r="L29" s="11">
        <v>38</v>
      </c>
      <c r="M29" s="5">
        <v>0.87</v>
      </c>
      <c r="N29" s="6">
        <f t="shared" si="8"/>
        <v>110.06896551724138</v>
      </c>
      <c r="O29" s="7">
        <f t="shared" si="9"/>
        <v>304</v>
      </c>
    </row>
    <row r="30" spans="1:15">
      <c r="A30" s="8" t="s">
        <v>46</v>
      </c>
      <c r="B30" s="3" t="s">
        <v>15</v>
      </c>
      <c r="C30" s="4">
        <v>46192</v>
      </c>
      <c r="D30" s="5">
        <v>1540</v>
      </c>
      <c r="E30" s="27">
        <v>1544</v>
      </c>
      <c r="F30" s="27">
        <f t="shared" si="0"/>
        <v>-4</v>
      </c>
      <c r="G30" s="9">
        <v>8</v>
      </c>
      <c r="H30" s="6">
        <f t="shared" si="5"/>
        <v>192.5</v>
      </c>
      <c r="I30" s="10">
        <f t="shared" si="6"/>
        <v>1.7489035087719296</v>
      </c>
      <c r="J30" s="10">
        <v>1.78</v>
      </c>
      <c r="K30" s="11">
        <f t="shared" si="7"/>
        <v>531.66666666666663</v>
      </c>
      <c r="L30" s="11">
        <v>38</v>
      </c>
      <c r="M30" s="5">
        <v>0.87</v>
      </c>
      <c r="N30" s="6">
        <f t="shared" si="8"/>
        <v>110.06896551724138</v>
      </c>
      <c r="O30" s="7">
        <f t="shared" si="9"/>
        <v>304</v>
      </c>
    </row>
    <row r="31" spans="1:15">
      <c r="A31" s="36" t="s">
        <v>47</v>
      </c>
      <c r="B31" s="3" t="s">
        <v>48</v>
      </c>
      <c r="C31" s="4">
        <v>46219</v>
      </c>
      <c r="D31" s="5">
        <v>3</v>
      </c>
      <c r="E31" s="27">
        <v>1</v>
      </c>
      <c r="F31" s="27">
        <f t="shared" si="0"/>
        <v>2</v>
      </c>
      <c r="G31" s="37">
        <v>8</v>
      </c>
      <c r="H31" s="6">
        <f t="shared" si="5"/>
        <v>0.375</v>
      </c>
      <c r="I31" s="38">
        <f>IF(G31=0,0,SUMPRODUCT(H31:H32,M31:M32)/(L31*2.52))</f>
        <v>1.3238014800514801</v>
      </c>
      <c r="J31" s="40">
        <v>1.3</v>
      </c>
      <c r="K31" s="39">
        <f t="shared" si="7"/>
        <v>391.84523809523813</v>
      </c>
      <c r="L31" s="39">
        <v>37</v>
      </c>
      <c r="M31" s="5">
        <v>2.09</v>
      </c>
      <c r="N31" s="6">
        <f t="shared" si="8"/>
        <v>44.612440191387563</v>
      </c>
      <c r="O31" s="7">
        <f t="shared" si="9"/>
        <v>296</v>
      </c>
    </row>
    <row r="32" spans="1:15">
      <c r="A32" s="36"/>
      <c r="B32" s="3" t="s">
        <v>49</v>
      </c>
      <c r="C32" s="4">
        <v>46237</v>
      </c>
      <c r="D32" s="5">
        <v>1242</v>
      </c>
      <c r="E32" s="27">
        <v>1243</v>
      </c>
      <c r="F32" s="27">
        <f t="shared" si="0"/>
        <v>-1</v>
      </c>
      <c r="G32" s="37"/>
      <c r="H32" s="6">
        <f>IF(G31=0,0,D32/G31)</f>
        <v>155.25</v>
      </c>
      <c r="I32" s="38"/>
      <c r="J32" s="41"/>
      <c r="K32" s="39"/>
      <c r="L32" s="39"/>
      <c r="M32" s="5">
        <v>0.79</v>
      </c>
      <c r="N32" s="6">
        <f>2.52/M32*L31</f>
        <v>118.02531645569618</v>
      </c>
      <c r="O32" s="7"/>
    </row>
    <row r="33" spans="1:15">
      <c r="A33" s="45" t="s">
        <v>50</v>
      </c>
      <c r="B33" s="46"/>
      <c r="C33" s="47"/>
      <c r="D33" s="12">
        <f>SUM(D5:D32)</f>
        <v>20554</v>
      </c>
      <c r="E33" s="12">
        <f>SUM(E5:E32)</f>
        <v>20561</v>
      </c>
      <c r="F33" s="12">
        <f>F5+F8+F9+F26+F29+F30+F32</f>
        <v>-38</v>
      </c>
      <c r="G33" s="13">
        <f>SUM(G5:G32)</f>
        <v>160</v>
      </c>
      <c r="H33" s="14"/>
      <c r="I33" s="15">
        <f>SUM(K5:K32)/O33</f>
        <v>1.5859030807984988</v>
      </c>
      <c r="J33" s="15"/>
      <c r="K33" s="12"/>
      <c r="L33" s="12">
        <f>SUM(L5:L32)</f>
        <v>753</v>
      </c>
      <c r="M33" s="12"/>
      <c r="N33" s="14"/>
      <c r="O33" s="16">
        <f>SUM(O5:O32)</f>
        <v>6024</v>
      </c>
    </row>
    <row r="34" spans="1:15">
      <c r="A34" s="17"/>
      <c r="B34" s="5"/>
      <c r="C34" s="4"/>
      <c r="D34" s="5"/>
      <c r="E34" s="5"/>
      <c r="F34" s="5"/>
      <c r="G34" s="18"/>
      <c r="H34" s="6"/>
      <c r="I34" s="19"/>
      <c r="J34" s="19"/>
      <c r="K34" s="5"/>
      <c r="L34" s="5"/>
      <c r="M34" s="5"/>
      <c r="N34" s="6"/>
      <c r="O34" s="7"/>
    </row>
    <row r="35" spans="1:15" ht="13.5" thickBot="1">
      <c r="A35" s="48" t="s">
        <v>51</v>
      </c>
      <c r="B35" s="49"/>
      <c r="C35" s="50"/>
      <c r="D35" s="20">
        <f>SUMIF(A5:A34, "&lt;&gt;Summary", D5:D34)</f>
        <v>20554</v>
      </c>
      <c r="E35" s="20"/>
      <c r="F35" s="20"/>
      <c r="G35" s="21">
        <f>SUMIF(A5:A34, "&lt;&gt;Summary", G5:G34)</f>
        <v>160</v>
      </c>
      <c r="H35" s="22"/>
      <c r="I35" s="23">
        <f>SUMIF(A5:A34, "&lt;&gt;Summary", K5:K34)/O35</f>
        <v>1.5859030807984988</v>
      </c>
      <c r="J35" s="23"/>
      <c r="K35" s="20"/>
      <c r="L35" s="20">
        <f>SUMIF(A5:A34, "&lt;&gt;Summary", L5:L34)</f>
        <v>753</v>
      </c>
      <c r="M35" s="20"/>
      <c r="N35" s="22"/>
      <c r="O35" s="24">
        <f>SUMIF(A5:A34, "&lt;&gt;Summary", O5:O34)</f>
        <v>6024</v>
      </c>
    </row>
    <row r="36" spans="1:15" ht="13.5" thickTop="1"/>
    <row r="37" spans="1:15">
      <c r="C37" s="25" t="s">
        <v>52</v>
      </c>
      <c r="D37" s="26">
        <f>SUM(K5:K10)/SUM(O5:O10)</f>
        <v>1.4979062527405069</v>
      </c>
      <c r="E37" s="26"/>
      <c r="F37" s="26"/>
    </row>
    <row r="38" spans="1:15">
      <c r="C38" s="25" t="s">
        <v>53</v>
      </c>
      <c r="D38" s="26">
        <f>SUM(K11:K19)/SUM(O11:O19)</f>
        <v>1.4585826614596455</v>
      </c>
      <c r="E38" s="26"/>
      <c r="F38" s="26"/>
    </row>
    <row r="39" spans="1:15">
      <c r="C39" s="25" t="s">
        <v>54</v>
      </c>
      <c r="D39" s="26">
        <f>SUM(K20:K26)/SUM(O20:O26)</f>
        <v>1.7212714947089947</v>
      </c>
      <c r="E39" s="26"/>
      <c r="F39" s="26"/>
    </row>
    <row r="40" spans="1:15">
      <c r="C40" s="25" t="s">
        <v>55</v>
      </c>
      <c r="D40" s="26">
        <f>SUM(K27:K32)/SUM(O27:O32)</f>
        <v>1.6592028172525553</v>
      </c>
      <c r="E40" s="26"/>
      <c r="F40" s="26"/>
    </row>
  </sheetData>
  <mergeCells count="63">
    <mergeCell ref="A35:C35"/>
    <mergeCell ref="A31:A32"/>
    <mergeCell ref="G31:G32"/>
    <mergeCell ref="I31:I32"/>
    <mergeCell ref="K31:K32"/>
    <mergeCell ref="J31:J32"/>
    <mergeCell ref="L31:L32"/>
    <mergeCell ref="A33:C33"/>
    <mergeCell ref="A20:A21"/>
    <mergeCell ref="G20:G21"/>
    <mergeCell ref="I20:I21"/>
    <mergeCell ref="K20:K21"/>
    <mergeCell ref="L20:L21"/>
    <mergeCell ref="A22:A23"/>
    <mergeCell ref="G22:G23"/>
    <mergeCell ref="I22:I23"/>
    <mergeCell ref="K22:K23"/>
    <mergeCell ref="L22:L23"/>
    <mergeCell ref="E20:E21"/>
    <mergeCell ref="F20:F21"/>
    <mergeCell ref="J20:J21"/>
    <mergeCell ref="J22:J23"/>
    <mergeCell ref="A14:A15"/>
    <mergeCell ref="G14:G15"/>
    <mergeCell ref="I14:I15"/>
    <mergeCell ref="K14:K15"/>
    <mergeCell ref="L14:L15"/>
    <mergeCell ref="J14:J15"/>
    <mergeCell ref="A16:A18"/>
    <mergeCell ref="G16:G18"/>
    <mergeCell ref="I16:I18"/>
    <mergeCell ref="K16:K18"/>
    <mergeCell ref="L16:L18"/>
    <mergeCell ref="E17:E18"/>
    <mergeCell ref="F17:F18"/>
    <mergeCell ref="J16:J18"/>
    <mergeCell ref="A5:A6"/>
    <mergeCell ref="G5:G6"/>
    <mergeCell ref="I5:I6"/>
    <mergeCell ref="K5:K6"/>
    <mergeCell ref="L5:L6"/>
    <mergeCell ref="J5:J6"/>
    <mergeCell ref="A12:A13"/>
    <mergeCell ref="G12:G13"/>
    <mergeCell ref="I12:I13"/>
    <mergeCell ref="K12:K13"/>
    <mergeCell ref="L12:L13"/>
    <mergeCell ref="J12:J13"/>
    <mergeCell ref="O3:O4"/>
    <mergeCell ref="A3:A4"/>
    <mergeCell ref="B3:B4"/>
    <mergeCell ref="C3:C4"/>
    <mergeCell ref="D3:D4"/>
    <mergeCell ref="G3:G4"/>
    <mergeCell ref="H3:H4"/>
    <mergeCell ref="E3:E4"/>
    <mergeCell ref="F3:F4"/>
    <mergeCell ref="J3:J4"/>
    <mergeCell ref="I3:I4"/>
    <mergeCell ref="K3:K4"/>
    <mergeCell ref="L3:L4"/>
    <mergeCell ref="M3:M4"/>
    <mergeCell ref="N3:N4"/>
  </mergeCells>
  <printOptions horizontalCentered="1"/>
  <pageMargins left="0.2" right="0.2" top="1" bottom="0.2" header="0.2" footer="0.2"/>
  <pageSetup paperSize="9" scale="75" fitToHeight="999" orientation="portrait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2026-08-06T01:13:30Z</cp:lastPrinted>
  <dcterms:created xsi:type="dcterms:W3CDTF">2026-08-06T00:40:12Z</dcterms:created>
  <dcterms:modified xsi:type="dcterms:W3CDTF">2026-08-06T01:13:31Z</dcterms:modified>
</cp:coreProperties>
</file>