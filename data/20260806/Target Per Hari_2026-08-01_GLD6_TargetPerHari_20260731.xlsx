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3" i="1"/>
  <c r="D42"/>
  <c r="D41"/>
  <c r="D40"/>
  <c r="I38"/>
  <c r="E38"/>
  <c r="D38"/>
  <c r="I37"/>
  <c r="E37"/>
  <c r="D37"/>
  <c r="L36"/>
  <c r="G36"/>
  <c r="H36" s="1"/>
  <c r="K36"/>
  <c r="F36"/>
  <c r="L35"/>
  <c r="H35"/>
  <c r="G35"/>
  <c r="K35"/>
  <c r="F35"/>
  <c r="L33"/>
  <c r="K34"/>
  <c r="F34"/>
  <c r="K33"/>
  <c r="F33"/>
  <c r="G33" s="1"/>
  <c r="H33" s="1"/>
  <c r="L32"/>
  <c r="G32"/>
  <c r="H32" s="1"/>
  <c r="K32"/>
  <c r="F32"/>
  <c r="L31"/>
  <c r="K31"/>
  <c r="F31"/>
  <c r="G31" s="1"/>
  <c r="H31" s="1"/>
  <c r="L30"/>
  <c r="K30"/>
  <c r="F30"/>
  <c r="G30" s="1"/>
  <c r="H30" s="1"/>
  <c r="L29"/>
  <c r="G29"/>
  <c r="H29" s="1"/>
  <c r="K29"/>
  <c r="F29"/>
  <c r="L28"/>
  <c r="H28"/>
  <c r="G28"/>
  <c r="K28"/>
  <c r="F28"/>
  <c r="L26"/>
  <c r="K27"/>
  <c r="F27"/>
  <c r="K26"/>
  <c r="F26"/>
  <c r="G26" s="1"/>
  <c r="H26" s="1"/>
  <c r="L25"/>
  <c r="H25"/>
  <c r="G25"/>
  <c r="K25"/>
  <c r="F25"/>
  <c r="L22"/>
  <c r="K24"/>
  <c r="F24"/>
  <c r="K23"/>
  <c r="F23"/>
  <c r="K22"/>
  <c r="F22"/>
  <c r="G22" s="1"/>
  <c r="H22" s="1"/>
  <c r="L15"/>
  <c r="K21"/>
  <c r="F21"/>
  <c r="K20"/>
  <c r="F20"/>
  <c r="K19"/>
  <c r="F19"/>
  <c r="K18"/>
  <c r="F18"/>
  <c r="K17"/>
  <c r="F17"/>
  <c r="K16"/>
  <c r="F16"/>
  <c r="K15"/>
  <c r="F15"/>
  <c r="G15" s="1"/>
  <c r="H15" s="1"/>
  <c r="L12"/>
  <c r="G12"/>
  <c r="H12" s="1"/>
  <c r="K14"/>
  <c r="F14"/>
  <c r="K13"/>
  <c r="F13"/>
  <c r="K12"/>
  <c r="F12"/>
  <c r="L11"/>
  <c r="H11"/>
  <c r="G11"/>
  <c r="K11"/>
  <c r="F11"/>
  <c r="L10"/>
  <c r="K10"/>
  <c r="F10"/>
  <c r="G10" s="1"/>
  <c r="H10" s="1"/>
  <c r="L9"/>
  <c r="K9"/>
  <c r="F9"/>
  <c r="G9" s="1"/>
  <c r="H9" s="1"/>
  <c r="L8"/>
  <c r="G8"/>
  <c r="H8" s="1"/>
  <c r="K8"/>
  <c r="F8"/>
  <c r="L7"/>
  <c r="H7"/>
  <c r="G7"/>
  <c r="K7"/>
  <c r="F7"/>
  <c r="L6"/>
  <c r="K6"/>
  <c r="F6"/>
  <c r="G6" s="1"/>
  <c r="H6" s="1"/>
  <c r="L5"/>
  <c r="L38" s="1"/>
  <c r="G38" s="1"/>
  <c r="K5"/>
  <c r="F5"/>
  <c r="G5" s="1"/>
  <c r="H5" s="1"/>
  <c r="L37" l="1"/>
  <c r="G37" s="1"/>
</calcChain>
</file>

<file path=xl/sharedStrings.xml><?xml version="1.0" encoding="utf-8"?>
<sst xmlns="http://schemas.openxmlformats.org/spreadsheetml/2006/main" count="71" uniqueCount="60">
  <si>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</si>
  <si>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</si>
  <si>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</si>
  <si>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</si>
  <si>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</si>
  <si>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</si>
  <si>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</si>
  <si>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</si>
  <si>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</si>
  <si>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</si>
  <si>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</si>
  <si>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</si>
  <si>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</si>
  <si>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</si>
  <si>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</si>
  <si>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</si>
  <si>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</si>
  <si>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</si>
  <si>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</si>
  <si>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</si>
  <si>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</si>
  <si>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</si>
  <si>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6-06</t>
  </si>
  <si>
    <t>777362_VMI</t>
  </si>
  <si>
    <t>6-07</t>
  </si>
  <si>
    <t>CPM263PA05_26Q4</t>
  </si>
  <si>
    <t>6-08</t>
  </si>
  <si>
    <t>766362_V1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</si>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</sst>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pane ySplit="4" topLeftCell="A7" activePane="bottomLeft" state="frozen"/>
      <selection pane="bottomLeft" activeCell="D5" sqref="D5:F3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46234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1178</v>
      </c>
      <c r="E5" s="38">
        <v>8</v>
      </c>
      <c r="F5" s="39">
        <f t="shared" ref="F5:F12" si="0">IF(E5=0,0,D5/E5)</f>
        <v>147.25</v>
      </c>
      <c r="G5" s="8">
        <f t="shared" ref="G5:G11" si="1">IF(E5=0,0,SUMPRODUCT(F5:F5,J5:J5)/(I5*2.52))</f>
        <v>1.1994047619047619</v>
      </c>
      <c r="H5" s="9">
        <f t="shared" ref="H5:H12" si="2">G5*I5*E5</f>
        <v>364.61904761904759</v>
      </c>
      <c r="I5" s="9">
        <v>38</v>
      </c>
      <c r="J5" s="6">
        <v>0.78</v>
      </c>
      <c r="K5" s="7">
        <f t="shared" ref="K5:K12" si="3">2.52/J5*I5</f>
        <v>122.76923076923077</v>
      </c>
      <c r="L5" s="10">
        <f t="shared" ref="L5:L12" si="4">E5*I5</f>
        <v>304</v>
      </c>
    </row>
    <row r="6" spans="1:12">
      <c r="A6" s="3" t="s">
        <v>15</v>
      </c>
      <c r="B6" s="4" t="s">
        <v>16</v>
      </c>
      <c r="C6" s="5">
        <v>46176</v>
      </c>
      <c r="D6" s="37">
        <v>1361</v>
      </c>
      <c r="E6" s="38">
        <v>8</v>
      </c>
      <c r="F6" s="39">
        <f t="shared" si="0"/>
        <v>170.125</v>
      </c>
      <c r="G6" s="8">
        <f t="shared" si="1"/>
        <v>2.4003527336860668</v>
      </c>
      <c r="H6" s="9">
        <f t="shared" si="2"/>
        <v>691.30158730158723</v>
      </c>
      <c r="I6" s="9">
        <v>36</v>
      </c>
      <c r="J6" s="6">
        <v>1.28</v>
      </c>
      <c r="K6" s="7">
        <f t="shared" si="3"/>
        <v>70.875</v>
      </c>
      <c r="L6" s="10">
        <f t="shared" si="4"/>
        <v>288</v>
      </c>
    </row>
    <row r="7" spans="1:12">
      <c r="A7" s="3" t="s">
        <v>17</v>
      </c>
      <c r="B7" s="4" t="s">
        <v>18</v>
      </c>
      <c r="C7" s="5">
        <v>46224</v>
      </c>
      <c r="D7" s="37">
        <v>1302</v>
      </c>
      <c r="E7" s="38">
        <v>8</v>
      </c>
      <c r="F7" s="39">
        <f t="shared" si="0"/>
        <v>162.75</v>
      </c>
      <c r="G7" s="8">
        <f t="shared" si="1"/>
        <v>1.5296052631578947</v>
      </c>
      <c r="H7" s="9">
        <f t="shared" si="2"/>
        <v>465</v>
      </c>
      <c r="I7" s="9">
        <v>38</v>
      </c>
      <c r="J7" s="6">
        <v>0.9</v>
      </c>
      <c r="K7" s="7">
        <f t="shared" si="3"/>
        <v>106.39999999999999</v>
      </c>
      <c r="L7" s="10">
        <f t="shared" si="4"/>
        <v>304</v>
      </c>
    </row>
    <row r="8" spans="1:12">
      <c r="A8" s="3" t="s">
        <v>19</v>
      </c>
      <c r="B8" s="4" t="s">
        <v>20</v>
      </c>
      <c r="C8" s="5">
        <v>46228</v>
      </c>
      <c r="D8" s="37">
        <v>1402</v>
      </c>
      <c r="E8" s="38">
        <v>8</v>
      </c>
      <c r="F8" s="39">
        <f t="shared" si="0"/>
        <v>175.25</v>
      </c>
      <c r="G8" s="8">
        <f t="shared" si="1"/>
        <v>1.6470864661654134</v>
      </c>
      <c r="H8" s="9">
        <f t="shared" si="2"/>
        <v>500.71428571428567</v>
      </c>
      <c r="I8" s="9">
        <v>38</v>
      </c>
      <c r="J8" s="6">
        <v>0.9</v>
      </c>
      <c r="K8" s="7">
        <f t="shared" si="3"/>
        <v>106.39999999999999</v>
      </c>
      <c r="L8" s="10">
        <f t="shared" si="4"/>
        <v>304</v>
      </c>
    </row>
    <row r="9" spans="1:12">
      <c r="A9" s="3" t="s">
        <v>21</v>
      </c>
      <c r="B9" s="4" t="s">
        <v>18</v>
      </c>
      <c r="C9" s="5">
        <v>46232</v>
      </c>
      <c r="D9" s="37">
        <v>962</v>
      </c>
      <c r="E9" s="38">
        <v>8</v>
      </c>
      <c r="F9" s="39">
        <f t="shared" si="0"/>
        <v>120.25</v>
      </c>
      <c r="G9" s="8">
        <f t="shared" si="1"/>
        <v>1.2270408163265307</v>
      </c>
      <c r="H9" s="9">
        <f t="shared" si="2"/>
        <v>343.57142857142861</v>
      </c>
      <c r="I9" s="9">
        <v>35</v>
      </c>
      <c r="J9" s="6">
        <v>0.9</v>
      </c>
      <c r="K9" s="7">
        <f t="shared" si="3"/>
        <v>98</v>
      </c>
      <c r="L9" s="10">
        <f t="shared" si="4"/>
        <v>280</v>
      </c>
    </row>
    <row r="10" spans="1:12">
      <c r="A10" s="3" t="s">
        <v>22</v>
      </c>
      <c r="B10" s="4" t="s">
        <v>23</v>
      </c>
      <c r="C10" s="5">
        <v>46122</v>
      </c>
      <c r="D10" s="37">
        <v>1456</v>
      </c>
      <c r="E10" s="38">
        <v>8</v>
      </c>
      <c r="F10" s="39">
        <f t="shared" si="0"/>
        <v>182</v>
      </c>
      <c r="G10" s="8">
        <f t="shared" si="1"/>
        <v>2.1064814814814814</v>
      </c>
      <c r="H10" s="9">
        <f t="shared" si="2"/>
        <v>606.66666666666663</v>
      </c>
      <c r="I10" s="9">
        <v>36</v>
      </c>
      <c r="J10" s="6">
        <v>1.05</v>
      </c>
      <c r="K10" s="7">
        <f t="shared" si="3"/>
        <v>86.399999999999991</v>
      </c>
      <c r="L10" s="10">
        <f t="shared" si="4"/>
        <v>288</v>
      </c>
    </row>
    <row r="11" spans="1:12">
      <c r="A11" s="3" t="s">
        <v>24</v>
      </c>
      <c r="B11" s="4" t="s">
        <v>25</v>
      </c>
      <c r="C11" s="5">
        <v>46225</v>
      </c>
      <c r="D11" s="37">
        <v>785</v>
      </c>
      <c r="E11" s="38">
        <v>8</v>
      </c>
      <c r="F11" s="39">
        <f t="shared" si="0"/>
        <v>98.125</v>
      </c>
      <c r="G11" s="8">
        <f t="shared" si="1"/>
        <v>1.3087659832451499</v>
      </c>
      <c r="H11" s="9">
        <f t="shared" si="2"/>
        <v>376.92460317460319</v>
      </c>
      <c r="I11" s="9">
        <v>36</v>
      </c>
      <c r="J11" s="6">
        <v>1.21</v>
      </c>
      <c r="K11" s="7">
        <f t="shared" si="3"/>
        <v>74.975206611570258</v>
      </c>
      <c r="L11" s="10">
        <f t="shared" si="4"/>
        <v>288</v>
      </c>
    </row>
    <row r="12" spans="1:12">
      <c r="A12" s="24" t="s">
        <v>26</v>
      </c>
      <c r="B12" s="4" t="s">
        <v>27</v>
      </c>
      <c r="C12" s="5">
        <v>46179</v>
      </c>
      <c r="D12" s="37">
        <v>0</v>
      </c>
      <c r="E12" s="40">
        <v>8</v>
      </c>
      <c r="F12" s="39">
        <f t="shared" si="0"/>
        <v>0</v>
      </c>
      <c r="G12" s="25">
        <f>IF(E12=0,0,SUMPRODUCT(F12:F14,J12:J14)/(I12*2.52))</f>
        <v>1.8685918060918061</v>
      </c>
      <c r="H12" s="26">
        <f t="shared" si="2"/>
        <v>553.10317460317458</v>
      </c>
      <c r="I12" s="26">
        <v>37</v>
      </c>
      <c r="J12" s="6">
        <v>0.85</v>
      </c>
      <c r="K12" s="7">
        <f t="shared" si="3"/>
        <v>109.69411764705883</v>
      </c>
      <c r="L12" s="10">
        <f t="shared" si="4"/>
        <v>296</v>
      </c>
    </row>
    <row r="13" spans="1:12">
      <c r="A13" s="24"/>
      <c r="B13" s="4" t="s">
        <v>28</v>
      </c>
      <c r="C13" s="5">
        <v>46213</v>
      </c>
      <c r="D13" s="37">
        <v>1470</v>
      </c>
      <c r="E13" s="40"/>
      <c r="F13" s="39">
        <f>IF(E12=0,0,D13/E12)</f>
        <v>183.75</v>
      </c>
      <c r="G13" s="25"/>
      <c r="H13" s="26"/>
      <c r="I13" s="26"/>
      <c r="J13" s="6">
        <v>0.85</v>
      </c>
      <c r="K13" s="7">
        <f>2.52/J13*I12</f>
        <v>109.69411764705883</v>
      </c>
      <c r="L13" s="10"/>
    </row>
    <row r="14" spans="1:12">
      <c r="A14" s="24"/>
      <c r="B14" s="4" t="s">
        <v>28</v>
      </c>
      <c r="C14" s="5">
        <v>46213</v>
      </c>
      <c r="D14" s="37">
        <v>164</v>
      </c>
      <c r="E14" s="40"/>
      <c r="F14" s="39">
        <f>IF(E12=0,0,D14/E12)</f>
        <v>20.5</v>
      </c>
      <c r="G14" s="25"/>
      <c r="H14" s="26"/>
      <c r="I14" s="26"/>
      <c r="J14" s="6">
        <v>0.88</v>
      </c>
      <c r="K14" s="7">
        <f>2.52/J14*I12</f>
        <v>105.95454545454545</v>
      </c>
      <c r="L14" s="10"/>
    </row>
    <row r="15" spans="1:12">
      <c r="A15" s="24" t="s">
        <v>29</v>
      </c>
      <c r="B15" s="6" t="s">
        <v>30</v>
      </c>
      <c r="C15" s="5">
        <v>46206</v>
      </c>
      <c r="D15" s="37">
        <v>4468</v>
      </c>
      <c r="E15" s="40">
        <v>8</v>
      </c>
      <c r="F15" s="39">
        <f>IF(E15=0,0,D15/E15)</f>
        <v>558.5</v>
      </c>
      <c r="G15" s="25">
        <f>IF(E15=0,0,SUMPRODUCT(F15:F21,J15:J21)/(I15*2.52))</f>
        <v>2.8518071643071643</v>
      </c>
      <c r="H15" s="26">
        <f>G15*I15*E15</f>
        <v>844.1349206349206</v>
      </c>
      <c r="I15" s="26">
        <v>37</v>
      </c>
      <c r="J15" s="6">
        <v>0.2</v>
      </c>
      <c r="K15" s="7">
        <f>2.52/J15*I15</f>
        <v>466.2</v>
      </c>
      <c r="L15" s="10">
        <f>E15*I15</f>
        <v>296</v>
      </c>
    </row>
    <row r="16" spans="1:12">
      <c r="A16" s="24"/>
      <c r="B16" s="6" t="s">
        <v>31</v>
      </c>
      <c r="C16" s="5">
        <v>46206</v>
      </c>
      <c r="D16" s="37">
        <v>2632</v>
      </c>
      <c r="E16" s="40"/>
      <c r="F16" s="39">
        <f>IF(E15=0,0,D16/E15)</f>
        <v>329</v>
      </c>
      <c r="G16" s="25"/>
      <c r="H16" s="26"/>
      <c r="I16" s="26"/>
      <c r="J16" s="6">
        <v>0.2</v>
      </c>
      <c r="K16" s="7">
        <f>2.52/J16*I15</f>
        <v>466.2</v>
      </c>
      <c r="L16" s="10"/>
    </row>
    <row r="17" spans="1:12">
      <c r="A17" s="24"/>
      <c r="B17" s="6" t="s">
        <v>32</v>
      </c>
      <c r="C17" s="5">
        <v>46206</v>
      </c>
      <c r="D17" s="37">
        <v>683</v>
      </c>
      <c r="E17" s="40"/>
      <c r="F17" s="39">
        <f>IF(E15=0,0,D17/E15)</f>
        <v>85.375</v>
      </c>
      <c r="G17" s="25"/>
      <c r="H17" s="26"/>
      <c r="I17" s="26"/>
      <c r="J17" s="6">
        <v>0.2</v>
      </c>
      <c r="K17" s="7">
        <f>2.52/J17*I15</f>
        <v>466.2</v>
      </c>
      <c r="L17" s="10"/>
    </row>
    <row r="18" spans="1:12">
      <c r="A18" s="24"/>
      <c r="B18" s="6" t="s">
        <v>33</v>
      </c>
      <c r="C18" s="5">
        <v>46206</v>
      </c>
      <c r="D18" s="37">
        <v>37</v>
      </c>
      <c r="E18" s="40"/>
      <c r="F18" s="39">
        <f>IF(E15=0,0,D18/E15)</f>
        <v>4.625</v>
      </c>
      <c r="G18" s="25"/>
      <c r="H18" s="26"/>
      <c r="I18" s="26"/>
      <c r="J18" s="6">
        <v>0.2</v>
      </c>
      <c r="K18" s="7">
        <f>2.52/J18*I15</f>
        <v>466.2</v>
      </c>
      <c r="L18" s="10"/>
    </row>
    <row r="19" spans="1:12">
      <c r="A19" s="24"/>
      <c r="B19" s="6" t="s">
        <v>34</v>
      </c>
      <c r="C19" s="5">
        <v>46206</v>
      </c>
      <c r="D19" s="37">
        <v>38</v>
      </c>
      <c r="E19" s="40"/>
      <c r="F19" s="39">
        <f>IF(E15=0,0,D19/E15)</f>
        <v>4.75</v>
      </c>
      <c r="G19" s="25"/>
      <c r="H19" s="26"/>
      <c r="I19" s="26"/>
      <c r="J19" s="6">
        <v>0.21</v>
      </c>
      <c r="K19" s="7">
        <f>2.52/J19*I15</f>
        <v>444</v>
      </c>
      <c r="L19" s="10"/>
    </row>
    <row r="20" spans="1:12">
      <c r="A20" s="24"/>
      <c r="B20" s="6" t="s">
        <v>35</v>
      </c>
      <c r="C20" s="5">
        <v>46206</v>
      </c>
      <c r="D20" s="37">
        <v>210</v>
      </c>
      <c r="E20" s="40"/>
      <c r="F20" s="39">
        <f>IF(E15=0,0,D20/E15)</f>
        <v>26.25</v>
      </c>
      <c r="G20" s="25"/>
      <c r="H20" s="26"/>
      <c r="I20" s="26"/>
      <c r="J20" s="6">
        <v>0.21</v>
      </c>
      <c r="K20" s="7">
        <f>2.52/J20*I15</f>
        <v>444</v>
      </c>
      <c r="L20" s="10"/>
    </row>
    <row r="21" spans="1:12">
      <c r="A21" s="24"/>
      <c r="B21" s="6" t="s">
        <v>36</v>
      </c>
      <c r="C21" s="5">
        <v>46206</v>
      </c>
      <c r="D21" s="37">
        <v>2434</v>
      </c>
      <c r="E21" s="40"/>
      <c r="F21" s="39">
        <f>IF(E15=0,0,D21/E15)</f>
        <v>304.25</v>
      </c>
      <c r="G21" s="25"/>
      <c r="H21" s="26"/>
      <c r="I21" s="26"/>
      <c r="J21" s="6">
        <v>0.21</v>
      </c>
      <c r="K21" s="7">
        <f>2.52/J21*I15</f>
        <v>444</v>
      </c>
      <c r="L21" s="10"/>
    </row>
    <row r="22" spans="1:12">
      <c r="A22" s="24" t="s">
        <v>37</v>
      </c>
      <c r="B22" s="4" t="s">
        <v>38</v>
      </c>
      <c r="C22" s="5"/>
      <c r="D22" s="37">
        <v>0</v>
      </c>
      <c r="E22" s="40">
        <v>7</v>
      </c>
      <c r="F22" s="39">
        <f>IF(E22=0,0,D22/E22)</f>
        <v>0</v>
      </c>
      <c r="G22" s="25">
        <f>IF(E22=0,0,SUMPRODUCT(F22:F24,J22:J24)/(I22*2.52))</f>
        <v>1.1953992123165054</v>
      </c>
      <c r="H22" s="26">
        <f>G22*I22*E22</f>
        <v>317.97619047619042</v>
      </c>
      <c r="I22" s="26">
        <v>38</v>
      </c>
      <c r="J22" s="6">
        <v>0.59</v>
      </c>
      <c r="K22" s="7">
        <f>2.52/J22*I22</f>
        <v>162.30508474576271</v>
      </c>
      <c r="L22" s="10">
        <f>E22*I22</f>
        <v>266</v>
      </c>
    </row>
    <row r="23" spans="1:12">
      <c r="A23" s="24"/>
      <c r="B23" s="4" t="s">
        <v>39</v>
      </c>
      <c r="C23" s="5">
        <v>46223</v>
      </c>
      <c r="D23" s="37">
        <v>76</v>
      </c>
      <c r="E23" s="40"/>
      <c r="F23" s="39">
        <f>IF(E22=0,0,D23/E22)</f>
        <v>10.857142857142858</v>
      </c>
      <c r="G23" s="25"/>
      <c r="H23" s="26"/>
      <c r="I23" s="26"/>
      <c r="J23" s="6">
        <v>1.1499999999999999</v>
      </c>
      <c r="K23" s="7">
        <f>2.52/J23*I22</f>
        <v>83.269565217391317</v>
      </c>
      <c r="L23" s="10"/>
    </row>
    <row r="24" spans="1:12">
      <c r="A24" s="24"/>
      <c r="B24" s="4" t="s">
        <v>39</v>
      </c>
      <c r="C24" s="5">
        <v>46223</v>
      </c>
      <c r="D24" s="37">
        <v>605</v>
      </c>
      <c r="E24" s="40"/>
      <c r="F24" s="39">
        <f>IF(E22=0,0,D24/E22)</f>
        <v>86.428571428571431</v>
      </c>
      <c r="G24" s="25"/>
      <c r="H24" s="26"/>
      <c r="I24" s="26"/>
      <c r="J24" s="6">
        <v>1.18</v>
      </c>
      <c r="K24" s="7">
        <f>2.52/J24*I22</f>
        <v>81.152542372881356</v>
      </c>
      <c r="L24" s="10"/>
    </row>
    <row r="25" spans="1:12">
      <c r="A25" s="3" t="s">
        <v>40</v>
      </c>
      <c r="B25" s="4" t="s">
        <v>41</v>
      </c>
      <c r="C25" s="5">
        <v>46162</v>
      </c>
      <c r="D25" s="37">
        <v>1402</v>
      </c>
      <c r="E25" s="38">
        <v>8</v>
      </c>
      <c r="F25" s="39">
        <f>IF(E25=0,0,D25/E25)</f>
        <v>175.25</v>
      </c>
      <c r="G25" s="8">
        <f>IF(E25=0,0,SUMPRODUCT(F25:F25,J25:J25)/(I25*2.52))</f>
        <v>2.0414426523297489</v>
      </c>
      <c r="H25" s="9">
        <f>G25*I25*E25</f>
        <v>506.27777777777771</v>
      </c>
      <c r="I25" s="9">
        <v>31</v>
      </c>
      <c r="J25" s="6">
        <v>0.91</v>
      </c>
      <c r="K25" s="7">
        <f>2.52/J25*I25</f>
        <v>85.84615384615384</v>
      </c>
      <c r="L25" s="10">
        <f>E25*I25</f>
        <v>248</v>
      </c>
    </row>
    <row r="26" spans="1:12">
      <c r="A26" s="24" t="s">
        <v>42</v>
      </c>
      <c r="B26" s="4" t="s">
        <v>43</v>
      </c>
      <c r="C26" s="5">
        <v>46211</v>
      </c>
      <c r="D26" s="37">
        <v>0</v>
      </c>
      <c r="E26" s="40">
        <v>8</v>
      </c>
      <c r="F26" s="39">
        <f>IF(E26=0,0,D26/E26)</f>
        <v>0</v>
      </c>
      <c r="G26" s="25">
        <f>IF(E26=0,0,SUMPRODUCT(F26:F27,J26:J27)/(I26*2.52))</f>
        <v>1.9409849409849409</v>
      </c>
      <c r="H26" s="26">
        <f>G26*I26*E26</f>
        <v>605.58730158730157</v>
      </c>
      <c r="I26" s="26">
        <v>39</v>
      </c>
      <c r="J26" s="6">
        <v>1.39</v>
      </c>
      <c r="K26" s="7">
        <f>2.52/J26*I26</f>
        <v>70.705035971223026</v>
      </c>
      <c r="L26" s="10">
        <f>E26*I26</f>
        <v>312</v>
      </c>
    </row>
    <row r="27" spans="1:12">
      <c r="A27" s="24"/>
      <c r="B27" s="4" t="s">
        <v>43</v>
      </c>
      <c r="C27" s="5">
        <v>46211</v>
      </c>
      <c r="D27" s="37">
        <v>1004</v>
      </c>
      <c r="E27" s="40"/>
      <c r="F27" s="39">
        <f>IF(E26=0,0,D27/E26)</f>
        <v>125.5</v>
      </c>
      <c r="G27" s="25"/>
      <c r="H27" s="26"/>
      <c r="I27" s="26"/>
      <c r="J27" s="6">
        <v>1.52</v>
      </c>
      <c r="K27" s="7">
        <f>2.52/J27*I26</f>
        <v>64.65789473684211</v>
      </c>
      <c r="L27" s="10"/>
    </row>
    <row r="28" spans="1:12">
      <c r="A28" s="3" t="s">
        <v>44</v>
      </c>
      <c r="B28" s="4" t="s">
        <v>45</v>
      </c>
      <c r="C28" s="5">
        <v>46227</v>
      </c>
      <c r="D28" s="37">
        <v>1203</v>
      </c>
      <c r="E28" s="38">
        <v>8</v>
      </c>
      <c r="F28" s="39">
        <f t="shared" ref="F28:F33" si="5">IF(E28=0,0,D28/E28)</f>
        <v>150.375</v>
      </c>
      <c r="G28" s="8">
        <f>IF(E28=0,0,SUMPRODUCT(F28:F28,J28:J28)/(I28*2.52))</f>
        <v>1.6274350649350651</v>
      </c>
      <c r="H28" s="9">
        <f t="shared" ref="H28:H33" si="6">G28*I28*E28</f>
        <v>429.64285714285717</v>
      </c>
      <c r="I28" s="9">
        <v>33</v>
      </c>
      <c r="J28" s="6">
        <v>0.9</v>
      </c>
      <c r="K28" s="7">
        <f t="shared" ref="K28:K33" si="7">2.52/J28*I28</f>
        <v>92.399999999999991</v>
      </c>
      <c r="L28" s="10">
        <f t="shared" ref="L28:L33" si="8">E28*I28</f>
        <v>264</v>
      </c>
    </row>
    <row r="29" spans="1:12">
      <c r="A29" s="3" t="s">
        <v>46</v>
      </c>
      <c r="B29" s="4" t="s">
        <v>47</v>
      </c>
      <c r="C29" s="5">
        <v>46202</v>
      </c>
      <c r="D29" s="37">
        <v>1820</v>
      </c>
      <c r="E29" s="38">
        <v>8</v>
      </c>
      <c r="F29" s="39">
        <f t="shared" si="5"/>
        <v>227.5</v>
      </c>
      <c r="G29" s="8">
        <f>IF(E29=0,0,SUMPRODUCT(F29:F29,J29:J29)/(I29*2.52))</f>
        <v>2.0983483483483485</v>
      </c>
      <c r="H29" s="9">
        <f t="shared" si="6"/>
        <v>621.1111111111112</v>
      </c>
      <c r="I29" s="9">
        <v>37</v>
      </c>
      <c r="J29" s="6">
        <v>0.86</v>
      </c>
      <c r="K29" s="7">
        <f t="shared" si="7"/>
        <v>108.41860465116278</v>
      </c>
      <c r="L29" s="10">
        <f t="shared" si="8"/>
        <v>296</v>
      </c>
    </row>
    <row r="30" spans="1:12">
      <c r="A30" s="3" t="s">
        <v>48</v>
      </c>
      <c r="B30" s="4" t="s">
        <v>20</v>
      </c>
      <c r="C30" s="5">
        <v>46223</v>
      </c>
      <c r="D30" s="37">
        <v>1401</v>
      </c>
      <c r="E30" s="38">
        <v>8</v>
      </c>
      <c r="F30" s="39">
        <f t="shared" si="5"/>
        <v>175.125</v>
      </c>
      <c r="G30" s="8">
        <f>IF(E30=0,0,SUMPRODUCT(F30:F30,J30:J30)/(I30*2.52))</f>
        <v>1.6459116541353385</v>
      </c>
      <c r="H30" s="9">
        <f t="shared" si="6"/>
        <v>500.35714285714289</v>
      </c>
      <c r="I30" s="9">
        <v>38</v>
      </c>
      <c r="J30" s="6">
        <v>0.9</v>
      </c>
      <c r="K30" s="7">
        <f t="shared" si="7"/>
        <v>106.39999999999999</v>
      </c>
      <c r="L30" s="10">
        <f t="shared" si="8"/>
        <v>304</v>
      </c>
    </row>
    <row r="31" spans="1:12">
      <c r="A31" s="3" t="s">
        <v>49</v>
      </c>
      <c r="B31" s="4" t="s">
        <v>47</v>
      </c>
      <c r="C31" s="5">
        <v>46213</v>
      </c>
      <c r="D31" s="37">
        <v>1991</v>
      </c>
      <c r="E31" s="38">
        <v>8</v>
      </c>
      <c r="F31" s="39">
        <f t="shared" si="5"/>
        <v>248.875</v>
      </c>
      <c r="G31" s="8">
        <f>IF(E31=0,0,SUMPRODUCT(F31:F31,J31:J31)/(I31*2.52))</f>
        <v>2.1051456766917291</v>
      </c>
      <c r="H31" s="9">
        <f t="shared" si="6"/>
        <v>639.96428571428567</v>
      </c>
      <c r="I31" s="9">
        <v>38</v>
      </c>
      <c r="J31" s="6">
        <v>0.81</v>
      </c>
      <c r="K31" s="7">
        <f t="shared" si="7"/>
        <v>118.2222222222222</v>
      </c>
      <c r="L31" s="10">
        <f t="shared" si="8"/>
        <v>304</v>
      </c>
    </row>
    <row r="32" spans="1:12">
      <c r="A32" s="3" t="s">
        <v>50</v>
      </c>
      <c r="B32" s="4" t="s">
        <v>47</v>
      </c>
      <c r="C32" s="5">
        <v>46165</v>
      </c>
      <c r="D32" s="37">
        <v>2048</v>
      </c>
      <c r="E32" s="38">
        <v>8</v>
      </c>
      <c r="F32" s="39">
        <f t="shared" si="5"/>
        <v>256</v>
      </c>
      <c r="G32" s="8">
        <f>IF(E32=0,0,SUMPRODUCT(F32:F32,J32:J32)/(I32*2.52))</f>
        <v>2.4161304161304162</v>
      </c>
      <c r="H32" s="9">
        <f t="shared" si="6"/>
        <v>715.17460317460325</v>
      </c>
      <c r="I32" s="9">
        <v>37</v>
      </c>
      <c r="J32" s="6">
        <v>0.88</v>
      </c>
      <c r="K32" s="7">
        <f t="shared" si="7"/>
        <v>105.95454545454545</v>
      </c>
      <c r="L32" s="10">
        <f t="shared" si="8"/>
        <v>296</v>
      </c>
    </row>
    <row r="33" spans="1:12">
      <c r="A33" s="24" t="s">
        <v>51</v>
      </c>
      <c r="B33" s="4" t="s">
        <v>43</v>
      </c>
      <c r="C33" s="5">
        <v>46210</v>
      </c>
      <c r="D33" s="37">
        <v>775</v>
      </c>
      <c r="E33" s="40">
        <v>8</v>
      </c>
      <c r="F33" s="39">
        <f t="shared" si="5"/>
        <v>96.875</v>
      </c>
      <c r="G33" s="25">
        <f>IF(E33=0,0,SUMPRODUCT(F33:F34,J33:J34)/(I33*2.52))</f>
        <v>2.1337632275132274</v>
      </c>
      <c r="H33" s="26">
        <f t="shared" si="6"/>
        <v>665.73412698412699</v>
      </c>
      <c r="I33" s="26">
        <v>39</v>
      </c>
      <c r="J33" s="6">
        <v>1.39</v>
      </c>
      <c r="K33" s="7">
        <f t="shared" si="7"/>
        <v>70.705035971223026</v>
      </c>
      <c r="L33" s="10">
        <f t="shared" si="8"/>
        <v>312</v>
      </c>
    </row>
    <row r="34" spans="1:12">
      <c r="A34" s="24"/>
      <c r="B34" s="4" t="s">
        <v>43</v>
      </c>
      <c r="C34" s="5">
        <v>46210</v>
      </c>
      <c r="D34" s="37">
        <v>395</v>
      </c>
      <c r="E34" s="40"/>
      <c r="F34" s="39">
        <f>IF(E33=0,0,D34/E33)</f>
        <v>49.375</v>
      </c>
      <c r="G34" s="25"/>
      <c r="H34" s="26"/>
      <c r="I34" s="26"/>
      <c r="J34" s="6">
        <v>1.52</v>
      </c>
      <c r="K34" s="7">
        <f>2.52/J34*I33</f>
        <v>64.65789473684211</v>
      </c>
      <c r="L34" s="10"/>
    </row>
    <row r="35" spans="1:12">
      <c r="A35" s="3" t="s">
        <v>52</v>
      </c>
      <c r="B35" s="4" t="s">
        <v>45</v>
      </c>
      <c r="C35" s="5">
        <v>46227</v>
      </c>
      <c r="D35" s="37">
        <v>1145</v>
      </c>
      <c r="E35" s="38">
        <v>8</v>
      </c>
      <c r="F35" s="39">
        <f>IF(E35=0,0,D35/E35)</f>
        <v>143.125</v>
      </c>
      <c r="G35" s="8">
        <f>IF(E35=0,0,SUMPRODUCT(F35:F35,J35:J35)/(I35*2.52))</f>
        <v>1.381515444015444</v>
      </c>
      <c r="H35" s="9">
        <f>G35*I35*E35</f>
        <v>408.92857142857144</v>
      </c>
      <c r="I35" s="9">
        <v>37</v>
      </c>
      <c r="J35" s="6">
        <v>0.9</v>
      </c>
      <c r="K35" s="7">
        <f>2.52/J35*I35</f>
        <v>103.6</v>
      </c>
      <c r="L35" s="10">
        <f>E35*I35</f>
        <v>296</v>
      </c>
    </row>
    <row r="36" spans="1:12">
      <c r="A36" s="3" t="s">
        <v>53</v>
      </c>
      <c r="B36" s="4" t="s">
        <v>25</v>
      </c>
      <c r="C36" s="5">
        <v>46221</v>
      </c>
      <c r="D36" s="37">
        <v>820</v>
      </c>
      <c r="E36" s="38">
        <v>8</v>
      </c>
      <c r="F36" s="39">
        <f>IF(E36=0,0,D36/E36)</f>
        <v>102.5</v>
      </c>
      <c r="G36" s="8">
        <f>IF(E36=0,0,SUMPRODUCT(F36:F36,J36:J36)/(I36*2.52))</f>
        <v>1.3671186067019399</v>
      </c>
      <c r="H36" s="9">
        <f>G36*I36*E36</f>
        <v>393.73015873015868</v>
      </c>
      <c r="I36" s="9">
        <v>36</v>
      </c>
      <c r="J36" s="6">
        <v>1.21</v>
      </c>
      <c r="K36" s="7">
        <f>2.52/J36*I36</f>
        <v>74.975206611570258</v>
      </c>
      <c r="L36" s="10">
        <f>E36*I36</f>
        <v>288</v>
      </c>
    </row>
    <row r="37" spans="1:12">
      <c r="A37" s="27" t="s">
        <v>54</v>
      </c>
      <c r="B37" s="28"/>
      <c r="C37" s="29"/>
      <c r="D37" s="11">
        <f>SUM(D5:D36)</f>
        <v>35267</v>
      </c>
      <c r="E37" s="12">
        <f>SUM(E5:E36)</f>
        <v>159</v>
      </c>
      <c r="F37" s="13"/>
      <c r="G37" s="14">
        <f>SUM(H5:H36)/L37</f>
        <v>1.8084538637761123</v>
      </c>
      <c r="H37" s="11"/>
      <c r="I37" s="11">
        <f>SUM(I5:I36)</f>
        <v>734</v>
      </c>
      <c r="J37" s="11"/>
      <c r="K37" s="13"/>
      <c r="L37" s="15">
        <f>SUM(L5:L36)</f>
        <v>5834</v>
      </c>
    </row>
    <row r="38" spans="1:12" ht="13.5" thickBot="1">
      <c r="A38" s="21" t="s">
        <v>55</v>
      </c>
      <c r="B38" s="22"/>
      <c r="C38" s="23"/>
      <c r="D38" s="16">
        <f>SUMIF(A5:A37, "&lt;&gt;Summary", D5:D37)</f>
        <v>35267</v>
      </c>
      <c r="E38" s="17">
        <f>SUMIF(A5:A37, "&lt;&gt;Summary", E5:E37)</f>
        <v>159</v>
      </c>
      <c r="F38" s="18"/>
      <c r="G38" s="19">
        <f>SUMIF(A5:A37, "&lt;&gt;Summary", H5:H37)/L38</f>
        <v>1.8084538637761123</v>
      </c>
      <c r="H38" s="16"/>
      <c r="I38" s="16">
        <f>SUMIF(A5:A37, "&lt;&gt;Summary", I5:I37)</f>
        <v>734</v>
      </c>
      <c r="J38" s="16"/>
      <c r="K38" s="18"/>
      <c r="L38" s="20">
        <f>SUMIF(A5:A37, "&lt;&gt;Summary", L5:L37)</f>
        <v>5834</v>
      </c>
    </row>
    <row r="39" spans="1:12" ht="13.5" thickTop="1"/>
    <row r="40" spans="1:12">
      <c r="C40" s="36" t="s">
        <v>56</v>
      </c>
      <c r="D40" s="36">
        <f>SUM(H5:H9)/SUM(L5:L9)</f>
        <v>1.5981123981123979</v>
      </c>
    </row>
    <row r="41" spans="1:12">
      <c r="C41" s="36" t="s">
        <v>57</v>
      </c>
      <c r="D41" s="36">
        <f>SUM(H10:H24)/SUM(L10:L24)</f>
        <v>1.8820122423678907</v>
      </c>
    </row>
    <row r="42" spans="1:12">
      <c r="C42" s="36" t="s">
        <v>58</v>
      </c>
      <c r="D42" s="36">
        <f>SUM(H25:H30)/SUM(L25:L30)</f>
        <v>1.8700675494917069</v>
      </c>
    </row>
    <row r="43" spans="1:12">
      <c r="C43" s="36" t="s">
        <v>59</v>
      </c>
      <c r="D43" s="36">
        <f>SUM(H31:H36)/SUM(L31:L36)</f>
        <v>1.8873875307698837</v>
      </c>
    </row>
  </sheetData>
  <mergeCells count="3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5:A21"/>
    <mergeCell ref="E15:E21"/>
    <mergeCell ref="G15:G21"/>
    <mergeCell ref="H15:H21"/>
    <mergeCell ref="I15:I21"/>
    <mergeCell ref="A12:A14"/>
    <mergeCell ref="E12:E14"/>
    <mergeCell ref="G12:G14"/>
    <mergeCell ref="H12:H14"/>
    <mergeCell ref="I12:I14"/>
    <mergeCell ref="I33:I34"/>
    <mergeCell ref="A37:C37"/>
    <mergeCell ref="A22:A24"/>
    <mergeCell ref="E22:E24"/>
    <mergeCell ref="G22:G24"/>
    <mergeCell ref="H22:H24"/>
    <mergeCell ref="I22:I24"/>
    <mergeCell ref="A26:A27"/>
    <mergeCell ref="E26:E27"/>
    <mergeCell ref="G26:G27"/>
    <mergeCell ref="H26:H27"/>
    <mergeCell ref="I26:I27"/>
    <mergeCell ref="A38:C38"/>
    <mergeCell ref="A33:A34"/>
    <mergeCell ref="E33:E34"/>
    <mergeCell ref="G33:G34"/>
    <mergeCell ref="H33:H34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2026-08-01T01:07:38Z</dcterms:created>
  <dcterms:modified xsi:type="dcterms:W3CDTF">2026-08-01T01:10:02Z</dcterms:modified>
</cp:coreProperties>
</file>