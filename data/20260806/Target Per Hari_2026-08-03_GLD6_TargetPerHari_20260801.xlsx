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47" i="1"/>
  <c r="D46"/>
  <c r="D45"/>
  <c r="D44"/>
  <c r="I42"/>
  <c r="E42"/>
  <c r="D42"/>
  <c r="I41"/>
  <c r="E41"/>
  <c r="D41"/>
  <c r="L40"/>
  <c r="G40"/>
  <c r="H40" s="1"/>
  <c r="K40"/>
  <c r="F40"/>
  <c r="L39"/>
  <c r="H39"/>
  <c r="G39"/>
  <c r="K39"/>
  <c r="F39"/>
  <c r="L37"/>
  <c r="K38"/>
  <c r="F38"/>
  <c r="K37"/>
  <c r="F37"/>
  <c r="G37" s="1"/>
  <c r="H37" s="1"/>
  <c r="L35"/>
  <c r="K36"/>
  <c r="F36"/>
  <c r="K35"/>
  <c r="F35"/>
  <c r="G35" s="1"/>
  <c r="H35" s="1"/>
  <c r="L34"/>
  <c r="G34"/>
  <c r="H34" s="1"/>
  <c r="K34"/>
  <c r="F34"/>
  <c r="L33"/>
  <c r="H33"/>
  <c r="G33"/>
  <c r="K33"/>
  <c r="F33"/>
  <c r="L32"/>
  <c r="K32"/>
  <c r="F32"/>
  <c r="G32" s="1"/>
  <c r="H32" s="1"/>
  <c r="L31"/>
  <c r="K31"/>
  <c r="F31"/>
  <c r="G31" s="1"/>
  <c r="H31" s="1"/>
  <c r="L29"/>
  <c r="K30"/>
  <c r="F30"/>
  <c r="K29"/>
  <c r="F29"/>
  <c r="G29" s="1"/>
  <c r="H29" s="1"/>
  <c r="L26"/>
  <c r="K28"/>
  <c r="F28"/>
  <c r="K27"/>
  <c r="F27"/>
  <c r="K26"/>
  <c r="F26"/>
  <c r="G26" s="1"/>
  <c r="H26" s="1"/>
  <c r="L24"/>
  <c r="G24"/>
  <c r="H24" s="1"/>
  <c r="K25"/>
  <c r="F25"/>
  <c r="K24"/>
  <c r="F24"/>
  <c r="L17"/>
  <c r="K23"/>
  <c r="F23"/>
  <c r="K22"/>
  <c r="F22"/>
  <c r="K21"/>
  <c r="F21"/>
  <c r="K20"/>
  <c r="F20"/>
  <c r="K19"/>
  <c r="F19"/>
  <c r="K18"/>
  <c r="F18"/>
  <c r="K17"/>
  <c r="F17"/>
  <c r="G17" s="1"/>
  <c r="H17" s="1"/>
  <c r="L13"/>
  <c r="K16"/>
  <c r="F16"/>
  <c r="K15"/>
  <c r="F15"/>
  <c r="K14"/>
  <c r="F14"/>
  <c r="K13"/>
  <c r="F13"/>
  <c r="G13" s="1"/>
  <c r="H13" s="1"/>
  <c r="L12"/>
  <c r="K12"/>
  <c r="F12"/>
  <c r="G12" s="1"/>
  <c r="H12" s="1"/>
  <c r="L11"/>
  <c r="G11"/>
  <c r="H11" s="1"/>
  <c r="K11"/>
  <c r="F11"/>
  <c r="L10"/>
  <c r="H10"/>
  <c r="G10"/>
  <c r="K10"/>
  <c r="F10"/>
  <c r="L9"/>
  <c r="K9"/>
  <c r="F9"/>
  <c r="G9" s="1"/>
  <c r="H9" s="1"/>
  <c r="L8"/>
  <c r="K8"/>
  <c r="F8"/>
  <c r="G8" s="1"/>
  <c r="H8" s="1"/>
  <c r="L6"/>
  <c r="G6"/>
  <c r="H6" s="1"/>
  <c r="K7"/>
  <c r="F7"/>
  <c r="K6"/>
  <c r="F6"/>
  <c r="L5"/>
  <c r="L42" s="1"/>
  <c r="G42" s="1"/>
  <c r="K5"/>
  <c r="F5"/>
  <c r="G5" s="1"/>
  <c r="H5" s="1"/>
  <c r="L41" l="1"/>
  <c r="G41" s="1"/>
</calcChain>
</file>

<file path=xl/sharedStrings.xml><?xml version="1.0" encoding="utf-8"?>
<sst xmlns="http://schemas.openxmlformats.org/spreadsheetml/2006/main" count="75" uniqueCount="60">
  <si>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</si>
  <si>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</si>
  <si>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</si>
  <si>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</si>
  <si>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</si>
  <si>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</si>
  <si>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</si>
  <si>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</si>
  <si>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</si>
  <si>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</si>
  <si>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</si>
  <si>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</si>
  <si>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</si>
  <si>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</si>
  <si>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1182430_HO26_HT</t>
  </si>
  <si>
    <t>6-02</t>
  </si>
  <si>
    <t>G917K0_C426</t>
  </si>
  <si>
    <t>6-03</t>
  </si>
  <si>
    <t>CPW264TL38</t>
  </si>
  <si>
    <t>6-04</t>
  </si>
  <si>
    <t>CPM263TL32_26Q4</t>
  </si>
  <si>
    <t>6-05</t>
  </si>
  <si>
    <t>6-06</t>
  </si>
  <si>
    <t>777362_VMI</t>
  </si>
  <si>
    <t>6-07</t>
  </si>
  <si>
    <t>CPM263PA05_26Q4</t>
  </si>
  <si>
    <t>6-08</t>
  </si>
  <si>
    <t>766362_V1</t>
  </si>
  <si>
    <t>766362_HO26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</si>
  <si>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</si>
  <si>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</si>
  <si>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</si>
  <si>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</si>
  <si>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</si>
  <si>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</si>
  <si>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</si>
  <si>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</si>
  <si>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</si>
  <si>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1184403_HO26</t>
  </si>
  <si>
    <t>6-11</t>
  </si>
  <si>
    <t>1182719_HO26</t>
  </si>
  <si>
    <t>MRLPMM_C426</t>
  </si>
  <si>
    <t>6-12</t>
  </si>
  <si>
    <t>910047_HO26DIS</t>
  </si>
  <si>
    <t>6-13</t>
  </si>
  <si>
    <t>1182723_HO26</t>
  </si>
  <si>
    <t>6-14</t>
  </si>
  <si>
    <t>G9M018_C426</t>
  </si>
  <si>
    <t>6-15</t>
  </si>
  <si>
    <t>6-16</t>
  </si>
  <si>
    <t>6-17</t>
  </si>
  <si>
    <t>6-18</t>
  </si>
  <si>
    <t>6-19</t>
  </si>
  <si>
    <t>6-20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</si>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</sst>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>
      <pane ySplit="4" topLeftCell="A5" activePane="bottomLeft" state="frozen"/>
      <selection pane="bottomLeft" activeCell="D5" sqref="D5:F40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46235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3" t="s">
        <v>13</v>
      </c>
      <c r="B5" s="4" t="s">
        <v>14</v>
      </c>
      <c r="C5" s="5">
        <v>46228</v>
      </c>
      <c r="D5" s="37">
        <v>720</v>
      </c>
      <c r="E5" s="38">
        <v>5</v>
      </c>
      <c r="F5" s="39">
        <f>IF(E5=0,0,D5/E5)</f>
        <v>144</v>
      </c>
      <c r="G5" s="8">
        <f>IF(E5=0,0,SUMPRODUCT(F5:F5,J5:J5)/(I5*2.52))</f>
        <v>1.2046332046332047</v>
      </c>
      <c r="H5" s="9">
        <f>G5*I5*E5</f>
        <v>222.85714285714283</v>
      </c>
      <c r="I5" s="9">
        <v>37</v>
      </c>
      <c r="J5" s="6">
        <v>0.78</v>
      </c>
      <c r="K5" s="7">
        <f>2.52/J5*I5</f>
        <v>119.53846153846155</v>
      </c>
      <c r="L5" s="10">
        <f>E5*I5</f>
        <v>185</v>
      </c>
    </row>
    <row r="6" spans="1:12">
      <c r="A6" s="27" t="s">
        <v>15</v>
      </c>
      <c r="B6" s="4" t="s">
        <v>16</v>
      </c>
      <c r="C6" s="5">
        <v>46176</v>
      </c>
      <c r="D6" s="37">
        <v>0</v>
      </c>
      <c r="E6" s="40">
        <v>5</v>
      </c>
      <c r="F6" s="39">
        <f>IF(E6=0,0,D6/E6)</f>
        <v>0</v>
      </c>
      <c r="G6" s="28">
        <f>IF(E6=0,0,SUMPRODUCT(F6:F7,J6:J7)/(I6*2.52))</f>
        <v>2.3337623337623339</v>
      </c>
      <c r="H6" s="29">
        <f>G6*I6*E6</f>
        <v>431.7460317460318</v>
      </c>
      <c r="I6" s="29">
        <v>37</v>
      </c>
      <c r="J6" s="6">
        <v>1.25</v>
      </c>
      <c r="K6" s="7">
        <f>2.52/J6*I6</f>
        <v>74.591999999999999</v>
      </c>
      <c r="L6" s="10">
        <f>E6*I6</f>
        <v>185</v>
      </c>
    </row>
    <row r="7" spans="1:12">
      <c r="A7" s="27"/>
      <c r="B7" s="4" t="s">
        <v>16</v>
      </c>
      <c r="C7" s="5">
        <v>46176</v>
      </c>
      <c r="D7" s="37">
        <v>850</v>
      </c>
      <c r="E7" s="40"/>
      <c r="F7" s="39">
        <f>IF(E6=0,0,D7/E6)</f>
        <v>170</v>
      </c>
      <c r="G7" s="28"/>
      <c r="H7" s="29"/>
      <c r="I7" s="29"/>
      <c r="J7" s="6">
        <v>1.28</v>
      </c>
      <c r="K7" s="7">
        <f>2.52/J7*I6</f>
        <v>72.84375</v>
      </c>
      <c r="L7" s="10"/>
    </row>
    <row r="8" spans="1:12">
      <c r="A8" s="3" t="s">
        <v>17</v>
      </c>
      <c r="B8" s="4" t="s">
        <v>18</v>
      </c>
      <c r="C8" s="5">
        <v>46224</v>
      </c>
      <c r="D8" s="37">
        <v>919</v>
      </c>
      <c r="E8" s="38">
        <v>5</v>
      </c>
      <c r="F8" s="39">
        <f t="shared" ref="F8:F13" si="0">IF(E8=0,0,D8/E8)</f>
        <v>183.8</v>
      </c>
      <c r="G8" s="8">
        <f>IF(E8=0,0,SUMPRODUCT(F8:F8,J8:J8)/(I8*2.52))</f>
        <v>1.7274436090225564</v>
      </c>
      <c r="H8" s="9">
        <f t="shared" ref="H8:H13" si="1">G8*I8*E8</f>
        <v>328.21428571428567</v>
      </c>
      <c r="I8" s="9">
        <v>38</v>
      </c>
      <c r="J8" s="6">
        <v>0.9</v>
      </c>
      <c r="K8" s="7">
        <f t="shared" ref="K8:K13" si="2">2.52/J8*I8</f>
        <v>106.39999999999999</v>
      </c>
      <c r="L8" s="10">
        <f t="shared" ref="L8:L13" si="3">E8*I8</f>
        <v>190</v>
      </c>
    </row>
    <row r="9" spans="1:12">
      <c r="A9" s="3" t="s">
        <v>19</v>
      </c>
      <c r="B9" s="4" t="s">
        <v>20</v>
      </c>
      <c r="C9" s="5">
        <v>46228</v>
      </c>
      <c r="D9" s="37">
        <v>907</v>
      </c>
      <c r="E9" s="38">
        <v>5</v>
      </c>
      <c r="F9" s="39">
        <f t="shared" si="0"/>
        <v>181.4</v>
      </c>
      <c r="G9" s="8">
        <f>IF(E9=0,0,SUMPRODUCT(F9:F9,J9:J9)/(I9*2.52))</f>
        <v>1.7048872180451129</v>
      </c>
      <c r="H9" s="9">
        <f t="shared" si="1"/>
        <v>323.92857142857144</v>
      </c>
      <c r="I9" s="9">
        <v>38</v>
      </c>
      <c r="J9" s="6">
        <v>0.9</v>
      </c>
      <c r="K9" s="7">
        <f t="shared" si="2"/>
        <v>106.39999999999999</v>
      </c>
      <c r="L9" s="10">
        <f t="shared" si="3"/>
        <v>190</v>
      </c>
    </row>
    <row r="10" spans="1:12">
      <c r="A10" s="3" t="s">
        <v>21</v>
      </c>
      <c r="B10" s="4" t="s">
        <v>18</v>
      </c>
      <c r="C10" s="5">
        <v>46232</v>
      </c>
      <c r="D10" s="37">
        <v>643</v>
      </c>
      <c r="E10" s="38">
        <v>5</v>
      </c>
      <c r="F10" s="39">
        <f t="shared" si="0"/>
        <v>128.6</v>
      </c>
      <c r="G10" s="8">
        <f>IF(E10=0,0,SUMPRODUCT(F10:F10,J10:J10)/(I10*2.52))</f>
        <v>1.3122448979591836</v>
      </c>
      <c r="H10" s="9">
        <f t="shared" si="1"/>
        <v>229.64285714285717</v>
      </c>
      <c r="I10" s="9">
        <v>35</v>
      </c>
      <c r="J10" s="6">
        <v>0.9</v>
      </c>
      <c r="K10" s="7">
        <f t="shared" si="2"/>
        <v>98</v>
      </c>
      <c r="L10" s="10">
        <f t="shared" si="3"/>
        <v>175</v>
      </c>
    </row>
    <row r="11" spans="1:12">
      <c r="A11" s="3" t="s">
        <v>22</v>
      </c>
      <c r="B11" s="4" t="s">
        <v>23</v>
      </c>
      <c r="C11" s="5">
        <v>46122</v>
      </c>
      <c r="D11" s="37">
        <v>913</v>
      </c>
      <c r="E11" s="38">
        <v>5</v>
      </c>
      <c r="F11" s="39">
        <f t="shared" si="0"/>
        <v>182.6</v>
      </c>
      <c r="G11" s="8">
        <f>IF(E11=0,0,SUMPRODUCT(F11:F11,J11:J11)/(I11*2.52))</f>
        <v>2.0563063063063063</v>
      </c>
      <c r="H11" s="9">
        <f t="shared" si="1"/>
        <v>380.41666666666663</v>
      </c>
      <c r="I11" s="9">
        <v>37</v>
      </c>
      <c r="J11" s="6">
        <v>1.05</v>
      </c>
      <c r="K11" s="7">
        <f t="shared" si="2"/>
        <v>88.8</v>
      </c>
      <c r="L11" s="10">
        <f t="shared" si="3"/>
        <v>185</v>
      </c>
    </row>
    <row r="12" spans="1:12">
      <c r="A12" s="3" t="s">
        <v>24</v>
      </c>
      <c r="B12" s="4" t="s">
        <v>25</v>
      </c>
      <c r="C12" s="5">
        <v>46225</v>
      </c>
      <c r="D12" s="37">
        <v>461</v>
      </c>
      <c r="E12" s="38">
        <v>5</v>
      </c>
      <c r="F12" s="39">
        <f t="shared" si="0"/>
        <v>92.2</v>
      </c>
      <c r="G12" s="8">
        <f>IF(E12=0,0,SUMPRODUCT(F12:F12,J12:J12)/(I12*2.52))</f>
        <v>1.1965036465036465</v>
      </c>
      <c r="H12" s="9">
        <f t="shared" si="1"/>
        <v>221.35317460317458</v>
      </c>
      <c r="I12" s="9">
        <v>37</v>
      </c>
      <c r="J12" s="6">
        <v>1.21</v>
      </c>
      <c r="K12" s="7">
        <f t="shared" si="2"/>
        <v>77.057851239669432</v>
      </c>
      <c r="L12" s="10">
        <f t="shared" si="3"/>
        <v>185</v>
      </c>
    </row>
    <row r="13" spans="1:12">
      <c r="A13" s="27" t="s">
        <v>26</v>
      </c>
      <c r="B13" s="4" t="s">
        <v>27</v>
      </c>
      <c r="C13" s="5">
        <v>46179</v>
      </c>
      <c r="D13" s="37">
        <v>616</v>
      </c>
      <c r="E13" s="40">
        <v>5</v>
      </c>
      <c r="F13" s="39">
        <f t="shared" si="0"/>
        <v>123.2</v>
      </c>
      <c r="G13" s="28">
        <f>IF(E13=0,0,SUMPRODUCT(F13:F16,J13:J16)/(I13*2.52))</f>
        <v>1.6014800514800516</v>
      </c>
      <c r="H13" s="29">
        <f t="shared" si="1"/>
        <v>296.27380952380952</v>
      </c>
      <c r="I13" s="29">
        <v>37</v>
      </c>
      <c r="J13" s="6">
        <v>0.85</v>
      </c>
      <c r="K13" s="7">
        <f t="shared" si="2"/>
        <v>109.69411764705883</v>
      </c>
      <c r="L13" s="10">
        <f t="shared" si="3"/>
        <v>185</v>
      </c>
    </row>
    <row r="14" spans="1:12">
      <c r="A14" s="27"/>
      <c r="B14" s="4" t="s">
        <v>27</v>
      </c>
      <c r="C14" s="5">
        <v>46179</v>
      </c>
      <c r="D14" s="37">
        <v>152</v>
      </c>
      <c r="E14" s="40"/>
      <c r="F14" s="39">
        <f>IF(E13=0,0,D14/E13)</f>
        <v>30.4</v>
      </c>
      <c r="G14" s="28"/>
      <c r="H14" s="29"/>
      <c r="I14" s="29"/>
      <c r="J14" s="6">
        <v>0.88</v>
      </c>
      <c r="K14" s="7">
        <f>2.52/J14*I13</f>
        <v>105.95454545454545</v>
      </c>
      <c r="L14" s="10"/>
    </row>
    <row r="15" spans="1:12">
      <c r="A15" s="27"/>
      <c r="B15" s="4" t="s">
        <v>28</v>
      </c>
      <c r="C15" s="5">
        <v>46213</v>
      </c>
      <c r="D15" s="37">
        <v>105</v>
      </c>
      <c r="E15" s="40"/>
      <c r="F15" s="39">
        <f>IF(E13=0,0,D15/E13)</f>
        <v>21</v>
      </c>
      <c r="G15" s="28"/>
      <c r="H15" s="29"/>
      <c r="I15" s="29"/>
      <c r="J15" s="6">
        <v>0.85</v>
      </c>
      <c r="K15" s="7">
        <f>2.52/J15*I13</f>
        <v>109.69411764705883</v>
      </c>
      <c r="L15" s="10"/>
    </row>
    <row r="16" spans="1:12">
      <c r="A16" s="27"/>
      <c r="B16" s="4" t="s">
        <v>28</v>
      </c>
      <c r="C16" s="5">
        <v>46213</v>
      </c>
      <c r="D16" s="37">
        <v>0</v>
      </c>
      <c r="E16" s="40"/>
      <c r="F16" s="39">
        <f>IF(E13=0,0,D16/E13)</f>
        <v>0</v>
      </c>
      <c r="G16" s="28"/>
      <c r="H16" s="29"/>
      <c r="I16" s="29"/>
      <c r="J16" s="6">
        <v>0.88</v>
      </c>
      <c r="K16" s="7">
        <f>2.52/J16*I13</f>
        <v>105.95454545454545</v>
      </c>
      <c r="L16" s="10"/>
    </row>
    <row r="17" spans="1:12">
      <c r="A17" s="27" t="s">
        <v>29</v>
      </c>
      <c r="B17" s="6" t="s">
        <v>30</v>
      </c>
      <c r="C17" s="5">
        <v>46206</v>
      </c>
      <c r="D17" s="37">
        <v>53</v>
      </c>
      <c r="E17" s="40">
        <v>5</v>
      </c>
      <c r="F17" s="39">
        <f>IF(E17=0,0,D17/E17)</f>
        <v>10.6</v>
      </c>
      <c r="G17" s="28">
        <f>IF(E17=0,0,SUMPRODUCT(F17:F23,J17:J23)/(I17*2.52))</f>
        <v>2.6643298059964726</v>
      </c>
      <c r="H17" s="29">
        <f>G17*I17*E17</f>
        <v>479.57936507936506</v>
      </c>
      <c r="I17" s="29">
        <v>36</v>
      </c>
      <c r="J17" s="6">
        <v>0.2</v>
      </c>
      <c r="K17" s="7">
        <f>2.52/J17*I17</f>
        <v>453.59999999999997</v>
      </c>
      <c r="L17" s="10">
        <f>E17*I17</f>
        <v>180</v>
      </c>
    </row>
    <row r="18" spans="1:12">
      <c r="A18" s="27"/>
      <c r="B18" s="6" t="s">
        <v>31</v>
      </c>
      <c r="C18" s="5">
        <v>46206</v>
      </c>
      <c r="D18" s="37">
        <v>1290</v>
      </c>
      <c r="E18" s="40"/>
      <c r="F18" s="39">
        <f>IF(E17=0,0,D18/E17)</f>
        <v>258</v>
      </c>
      <c r="G18" s="28"/>
      <c r="H18" s="29"/>
      <c r="I18" s="29"/>
      <c r="J18" s="6">
        <v>0.2</v>
      </c>
      <c r="K18" s="7">
        <f>2.52/J18*I17</f>
        <v>453.59999999999997</v>
      </c>
      <c r="L18" s="10"/>
    </row>
    <row r="19" spans="1:12">
      <c r="A19" s="27"/>
      <c r="B19" s="6" t="s">
        <v>32</v>
      </c>
      <c r="C19" s="5">
        <v>46206</v>
      </c>
      <c r="D19" s="37">
        <v>2675</v>
      </c>
      <c r="E19" s="40"/>
      <c r="F19" s="39">
        <f>IF(E17=0,0,D19/E17)</f>
        <v>535</v>
      </c>
      <c r="G19" s="28"/>
      <c r="H19" s="29"/>
      <c r="I19" s="29"/>
      <c r="J19" s="6">
        <v>0.2</v>
      </c>
      <c r="K19" s="7">
        <f>2.52/J19*I17</f>
        <v>453.59999999999997</v>
      </c>
      <c r="L19" s="10"/>
    </row>
    <row r="20" spans="1:12">
      <c r="A20" s="27"/>
      <c r="B20" s="6" t="s">
        <v>33</v>
      </c>
      <c r="C20" s="5">
        <v>46206</v>
      </c>
      <c r="D20" s="37">
        <v>1821</v>
      </c>
      <c r="E20" s="40"/>
      <c r="F20" s="39">
        <f>IF(E17=0,0,D20/E17)</f>
        <v>364.2</v>
      </c>
      <c r="G20" s="28"/>
      <c r="H20" s="29"/>
      <c r="I20" s="29"/>
      <c r="J20" s="6">
        <v>0.2</v>
      </c>
      <c r="K20" s="7">
        <f>2.52/J20*I17</f>
        <v>453.59999999999997</v>
      </c>
      <c r="L20" s="10"/>
    </row>
    <row r="21" spans="1:12">
      <c r="A21" s="27"/>
      <c r="B21" s="6" t="s">
        <v>34</v>
      </c>
      <c r="C21" s="5">
        <v>46206</v>
      </c>
      <c r="D21" s="37">
        <v>32</v>
      </c>
      <c r="E21" s="40"/>
      <c r="F21" s="39">
        <f>IF(E17=0,0,D21/E17)</f>
        <v>6.4</v>
      </c>
      <c r="G21" s="28"/>
      <c r="H21" s="29"/>
      <c r="I21" s="29"/>
      <c r="J21" s="6">
        <v>0.21</v>
      </c>
      <c r="K21" s="7">
        <f>2.52/J21*I17</f>
        <v>432</v>
      </c>
      <c r="L21" s="10"/>
    </row>
    <row r="22" spans="1:12">
      <c r="A22" s="27"/>
      <c r="B22" s="6" t="s">
        <v>35</v>
      </c>
      <c r="C22" s="5">
        <v>46206</v>
      </c>
      <c r="D22" s="37">
        <v>37</v>
      </c>
      <c r="E22" s="40"/>
      <c r="F22" s="39">
        <f>IF(E17=0,0,D22/E17)</f>
        <v>7.4</v>
      </c>
      <c r="G22" s="28"/>
      <c r="H22" s="29"/>
      <c r="I22" s="29"/>
      <c r="J22" s="6">
        <v>0.21</v>
      </c>
      <c r="K22" s="7">
        <f>2.52/J22*I17</f>
        <v>432</v>
      </c>
      <c r="L22" s="10"/>
    </row>
    <row r="23" spans="1:12">
      <c r="A23" s="27"/>
      <c r="B23" s="6" t="s">
        <v>36</v>
      </c>
      <c r="C23" s="5">
        <v>46206</v>
      </c>
      <c r="D23" s="37">
        <v>125</v>
      </c>
      <c r="E23" s="40"/>
      <c r="F23" s="39">
        <f>IF(E17=0,0,D23/E17)</f>
        <v>25</v>
      </c>
      <c r="G23" s="28"/>
      <c r="H23" s="29"/>
      <c r="I23" s="29"/>
      <c r="J23" s="6">
        <v>0.21</v>
      </c>
      <c r="K23" s="7">
        <f>2.52/J23*I17</f>
        <v>432</v>
      </c>
      <c r="L23" s="10"/>
    </row>
    <row r="24" spans="1:12">
      <c r="A24" s="27" t="s">
        <v>37</v>
      </c>
      <c r="B24" s="4" t="s">
        <v>38</v>
      </c>
      <c r="C24" s="5">
        <v>46223</v>
      </c>
      <c r="D24" s="37">
        <v>10</v>
      </c>
      <c r="E24" s="40">
        <v>5</v>
      </c>
      <c r="F24" s="39">
        <f>IF(E24=0,0,D24/E24)</f>
        <v>2</v>
      </c>
      <c r="G24" s="28">
        <f>IF(E24=0,0,SUMPRODUCT(F24:F25,J24:J25)/(I24*2.52))</f>
        <v>0.93834586466165404</v>
      </c>
      <c r="H24" s="29">
        <f>G24*I24*E24</f>
        <v>178.28571428571425</v>
      </c>
      <c r="I24" s="29">
        <v>38</v>
      </c>
      <c r="J24" s="6">
        <v>1.1499999999999999</v>
      </c>
      <c r="K24" s="7">
        <f>2.52/J24*I24</f>
        <v>83.269565217391317</v>
      </c>
      <c r="L24" s="10">
        <f>E24*I24</f>
        <v>190</v>
      </c>
    </row>
    <row r="25" spans="1:12">
      <c r="A25" s="27"/>
      <c r="B25" s="4" t="s">
        <v>38</v>
      </c>
      <c r="C25" s="5">
        <v>46223</v>
      </c>
      <c r="D25" s="37">
        <v>371</v>
      </c>
      <c r="E25" s="40"/>
      <c r="F25" s="39">
        <f>IF(E24=0,0,D25/E24)</f>
        <v>74.2</v>
      </c>
      <c r="G25" s="28"/>
      <c r="H25" s="29"/>
      <c r="I25" s="29"/>
      <c r="J25" s="6">
        <v>1.18</v>
      </c>
      <c r="K25" s="7">
        <f>2.52/J25*I24</f>
        <v>81.152542372881356</v>
      </c>
      <c r="L25" s="10"/>
    </row>
    <row r="26" spans="1:12">
      <c r="A26" s="27" t="s">
        <v>39</v>
      </c>
      <c r="B26" s="4" t="s">
        <v>40</v>
      </c>
      <c r="C26" s="5"/>
      <c r="D26" s="37">
        <v>0</v>
      </c>
      <c r="E26" s="40">
        <v>5</v>
      </c>
      <c r="F26" s="39">
        <f>IF(E26=0,0,D26/E26)</f>
        <v>0</v>
      </c>
      <c r="G26" s="28">
        <f>IF(E26=0,0,SUMPRODUCT(F26:F28,J26:J28)/(I26*2.52))</f>
        <v>2.043189964157706</v>
      </c>
      <c r="H26" s="29">
        <f>G26*I26*E26</f>
        <v>316.69444444444446</v>
      </c>
      <c r="I26" s="29">
        <v>31</v>
      </c>
      <c r="J26" s="6">
        <v>0.59</v>
      </c>
      <c r="K26" s="7">
        <f>2.52/J26*I26</f>
        <v>132.40677966101694</v>
      </c>
      <c r="L26" s="10">
        <f>E26*I26</f>
        <v>155</v>
      </c>
    </row>
    <row r="27" spans="1:12">
      <c r="A27" s="27"/>
      <c r="B27" s="4" t="s">
        <v>41</v>
      </c>
      <c r="C27" s="5">
        <v>46162</v>
      </c>
      <c r="D27" s="37">
        <v>0</v>
      </c>
      <c r="E27" s="40"/>
      <c r="F27" s="39">
        <f>IF(E26=0,0,D27/E26)</f>
        <v>0</v>
      </c>
      <c r="G27" s="28"/>
      <c r="H27" s="29"/>
      <c r="I27" s="29"/>
      <c r="J27" s="6">
        <v>0.87</v>
      </c>
      <c r="K27" s="7">
        <f>2.52/J27*I26</f>
        <v>89.793103448275858</v>
      </c>
      <c r="L27" s="10"/>
    </row>
    <row r="28" spans="1:12">
      <c r="A28" s="27"/>
      <c r="B28" s="4" t="s">
        <v>41</v>
      </c>
      <c r="C28" s="5">
        <v>46162</v>
      </c>
      <c r="D28" s="37">
        <v>877</v>
      </c>
      <c r="E28" s="40"/>
      <c r="F28" s="39">
        <f>IF(E26=0,0,D28/E26)</f>
        <v>175.4</v>
      </c>
      <c r="G28" s="28"/>
      <c r="H28" s="29"/>
      <c r="I28" s="29"/>
      <c r="J28" s="6">
        <v>0.91</v>
      </c>
      <c r="K28" s="7">
        <f>2.52/J28*I26</f>
        <v>85.84615384615384</v>
      </c>
      <c r="L28" s="10"/>
    </row>
    <row r="29" spans="1:12">
      <c r="A29" s="27" t="s">
        <v>42</v>
      </c>
      <c r="B29" s="4" t="s">
        <v>43</v>
      </c>
      <c r="C29" s="5">
        <v>46211</v>
      </c>
      <c r="D29" s="37">
        <v>0</v>
      </c>
      <c r="E29" s="40">
        <v>5</v>
      </c>
      <c r="F29" s="39">
        <f>IF(E29=0,0,D29/E29)</f>
        <v>0</v>
      </c>
      <c r="G29" s="28">
        <f>IF(E29=0,0,SUMPRODUCT(F29:F30,J29:J30)/(I29*2.52))</f>
        <v>1.756939356939357</v>
      </c>
      <c r="H29" s="29">
        <f>G29*I29*E29</f>
        <v>342.60317460317458</v>
      </c>
      <c r="I29" s="29">
        <v>39</v>
      </c>
      <c r="J29" s="6">
        <v>1.39</v>
      </c>
      <c r="K29" s="7">
        <f>2.52/J29*I29</f>
        <v>70.705035971223026</v>
      </c>
      <c r="L29" s="10">
        <f>E29*I29</f>
        <v>195</v>
      </c>
    </row>
    <row r="30" spans="1:12">
      <c r="A30" s="27"/>
      <c r="B30" s="4" t="s">
        <v>43</v>
      </c>
      <c r="C30" s="5">
        <v>46211</v>
      </c>
      <c r="D30" s="37">
        <v>568</v>
      </c>
      <c r="E30" s="40"/>
      <c r="F30" s="39">
        <f>IF(E29=0,0,D30/E29)</f>
        <v>113.6</v>
      </c>
      <c r="G30" s="28"/>
      <c r="H30" s="29"/>
      <c r="I30" s="29"/>
      <c r="J30" s="6">
        <v>1.52</v>
      </c>
      <c r="K30" s="7">
        <f>2.52/J30*I29</f>
        <v>64.65789473684211</v>
      </c>
      <c r="L30" s="10"/>
    </row>
    <row r="31" spans="1:12">
      <c r="A31" s="3" t="s">
        <v>44</v>
      </c>
      <c r="B31" s="4" t="s">
        <v>45</v>
      </c>
      <c r="C31" s="5">
        <v>46227</v>
      </c>
      <c r="D31" s="37">
        <v>750</v>
      </c>
      <c r="E31" s="38">
        <v>5</v>
      </c>
      <c r="F31" s="39">
        <f>IF(E31=0,0,D31/E31)</f>
        <v>150</v>
      </c>
      <c r="G31" s="8">
        <f>IF(E31=0,0,SUMPRODUCT(F31:F31,J31:J31)/(I31*2.52))</f>
        <v>1.5306122448979591</v>
      </c>
      <c r="H31" s="9">
        <f>G31*I31*E31</f>
        <v>267.85714285714283</v>
      </c>
      <c r="I31" s="9">
        <v>35</v>
      </c>
      <c r="J31" s="6">
        <v>0.9</v>
      </c>
      <c r="K31" s="7">
        <f>2.52/J31*I31</f>
        <v>98</v>
      </c>
      <c r="L31" s="10">
        <f>E31*I31</f>
        <v>175</v>
      </c>
    </row>
    <row r="32" spans="1:12">
      <c r="A32" s="3" t="s">
        <v>46</v>
      </c>
      <c r="B32" s="4" t="s">
        <v>47</v>
      </c>
      <c r="C32" s="5">
        <v>46202</v>
      </c>
      <c r="D32" s="37">
        <v>1253</v>
      </c>
      <c r="E32" s="38">
        <v>5</v>
      </c>
      <c r="F32" s="39">
        <f>IF(E32=0,0,D32/E32)</f>
        <v>250.6</v>
      </c>
      <c r="G32" s="8">
        <f>IF(E32=0,0,SUMPRODUCT(F32:F32,J32:J32)/(I32*2.52))</f>
        <v>2.3114114114114113</v>
      </c>
      <c r="H32" s="9">
        <f>G32*I32*E32</f>
        <v>427.61111111111109</v>
      </c>
      <c r="I32" s="9">
        <v>37</v>
      </c>
      <c r="J32" s="6">
        <v>0.86</v>
      </c>
      <c r="K32" s="7">
        <f>2.52/J32*I32</f>
        <v>108.41860465116278</v>
      </c>
      <c r="L32" s="10">
        <f>E32*I32</f>
        <v>185</v>
      </c>
    </row>
    <row r="33" spans="1:12">
      <c r="A33" s="3" t="s">
        <v>48</v>
      </c>
      <c r="B33" s="4" t="s">
        <v>20</v>
      </c>
      <c r="C33" s="5">
        <v>46223</v>
      </c>
      <c r="D33" s="37">
        <v>858</v>
      </c>
      <c r="E33" s="38">
        <v>5</v>
      </c>
      <c r="F33" s="39">
        <f>IF(E33=0,0,D33/E33)</f>
        <v>171.6</v>
      </c>
      <c r="G33" s="8">
        <f>IF(E33=0,0,SUMPRODUCT(F33:F33,J33:J33)/(I33*2.52))</f>
        <v>1.6563706563706564</v>
      </c>
      <c r="H33" s="9">
        <f>G33*I33*E33</f>
        <v>306.42857142857144</v>
      </c>
      <c r="I33" s="9">
        <v>37</v>
      </c>
      <c r="J33" s="6">
        <v>0.9</v>
      </c>
      <c r="K33" s="7">
        <f>2.52/J33*I33</f>
        <v>103.6</v>
      </c>
      <c r="L33" s="10">
        <f>E33*I33</f>
        <v>185</v>
      </c>
    </row>
    <row r="34" spans="1:12">
      <c r="A34" s="3" t="s">
        <v>49</v>
      </c>
      <c r="B34" s="4" t="s">
        <v>47</v>
      </c>
      <c r="C34" s="5">
        <v>46213</v>
      </c>
      <c r="D34" s="37">
        <v>1250</v>
      </c>
      <c r="E34" s="38">
        <v>5</v>
      </c>
      <c r="F34" s="39">
        <f>IF(E34=0,0,D34/E34)</f>
        <v>250</v>
      </c>
      <c r="G34" s="8">
        <f>IF(E34=0,0,SUMPRODUCT(F34:F34,J34:J34)/(I34*2.52))</f>
        <v>2.1146616541353382</v>
      </c>
      <c r="H34" s="9">
        <f>G34*I34*E34</f>
        <v>401.78571428571422</v>
      </c>
      <c r="I34" s="9">
        <v>38</v>
      </c>
      <c r="J34" s="6">
        <v>0.81</v>
      </c>
      <c r="K34" s="7">
        <f>2.52/J34*I34</f>
        <v>118.2222222222222</v>
      </c>
      <c r="L34" s="10">
        <f>E34*I34</f>
        <v>190</v>
      </c>
    </row>
    <row r="35" spans="1:12">
      <c r="A35" s="27" t="s">
        <v>50</v>
      </c>
      <c r="B35" s="4" t="s">
        <v>47</v>
      </c>
      <c r="C35" s="5">
        <v>46165</v>
      </c>
      <c r="D35" s="37">
        <v>347</v>
      </c>
      <c r="E35" s="40">
        <v>5</v>
      </c>
      <c r="F35" s="39">
        <f>IF(E35=0,0,D35/E35)</f>
        <v>69.400000000000006</v>
      </c>
      <c r="G35" s="28">
        <f>IF(E35=0,0,SUMPRODUCT(F35:F36,J35:J36)/(I35*2.52))</f>
        <v>2.3130630630630629</v>
      </c>
      <c r="H35" s="29">
        <f>G35*I35*E35</f>
        <v>427.91666666666663</v>
      </c>
      <c r="I35" s="29">
        <v>37</v>
      </c>
      <c r="J35" s="6">
        <v>0.81</v>
      </c>
      <c r="K35" s="7">
        <f>2.52/J35*I35</f>
        <v>115.1111111111111</v>
      </c>
      <c r="L35" s="10">
        <f>E35*I35</f>
        <v>185</v>
      </c>
    </row>
    <row r="36" spans="1:12">
      <c r="A36" s="27"/>
      <c r="B36" s="4" t="s">
        <v>47</v>
      </c>
      <c r="C36" s="5">
        <v>46165</v>
      </c>
      <c r="D36" s="37">
        <v>906</v>
      </c>
      <c r="E36" s="40"/>
      <c r="F36" s="39">
        <f>IF(E35=0,0,D36/E35)</f>
        <v>181.2</v>
      </c>
      <c r="G36" s="28"/>
      <c r="H36" s="29"/>
      <c r="I36" s="29"/>
      <c r="J36" s="6">
        <v>0.88</v>
      </c>
      <c r="K36" s="7">
        <f>2.52/J36*I35</f>
        <v>105.95454545454545</v>
      </c>
      <c r="L36" s="10"/>
    </row>
    <row r="37" spans="1:12">
      <c r="A37" s="27" t="s">
        <v>51</v>
      </c>
      <c r="B37" s="4" t="s">
        <v>43</v>
      </c>
      <c r="C37" s="5">
        <v>46210</v>
      </c>
      <c r="D37" s="37">
        <v>628</v>
      </c>
      <c r="E37" s="40">
        <v>5</v>
      </c>
      <c r="F37" s="39">
        <f>IF(E37=0,0,D37/E37)</f>
        <v>125.6</v>
      </c>
      <c r="G37" s="28">
        <f>IF(E37=0,0,SUMPRODUCT(F37:F38,J37:J38)/(I37*2.52))</f>
        <v>2.0485958485958484</v>
      </c>
      <c r="H37" s="29">
        <f>G37*I37*E37</f>
        <v>399.47619047619042</v>
      </c>
      <c r="I37" s="29">
        <v>39</v>
      </c>
      <c r="J37" s="6">
        <v>1.39</v>
      </c>
      <c r="K37" s="7">
        <f>2.52/J37*I37</f>
        <v>70.705035971223026</v>
      </c>
      <c r="L37" s="10">
        <f>E37*I37</f>
        <v>195</v>
      </c>
    </row>
    <row r="38" spans="1:12">
      <c r="A38" s="27"/>
      <c r="B38" s="4" t="s">
        <v>43</v>
      </c>
      <c r="C38" s="5">
        <v>46210</v>
      </c>
      <c r="D38" s="37">
        <v>88</v>
      </c>
      <c r="E38" s="40"/>
      <c r="F38" s="39">
        <f>IF(E37=0,0,D38/E37)</f>
        <v>17.600000000000001</v>
      </c>
      <c r="G38" s="28"/>
      <c r="H38" s="29"/>
      <c r="I38" s="29"/>
      <c r="J38" s="6">
        <v>1.52</v>
      </c>
      <c r="K38" s="7">
        <f>2.52/J38*I37</f>
        <v>64.65789473684211</v>
      </c>
      <c r="L38" s="10"/>
    </row>
    <row r="39" spans="1:12">
      <c r="A39" s="3" t="s">
        <v>52</v>
      </c>
      <c r="B39" s="4" t="s">
        <v>45</v>
      </c>
      <c r="C39" s="5">
        <v>46227</v>
      </c>
      <c r="D39" s="37">
        <v>750</v>
      </c>
      <c r="E39" s="38">
        <v>5</v>
      </c>
      <c r="F39" s="39">
        <f>IF(E39=0,0,D39/E39)</f>
        <v>150</v>
      </c>
      <c r="G39" s="8">
        <f>IF(E39=0,0,SUMPRODUCT(F39:F39,J39:J39)/(I39*2.52))</f>
        <v>1.4478764478764479</v>
      </c>
      <c r="H39" s="9">
        <f>G39*I39*E39</f>
        <v>267.85714285714283</v>
      </c>
      <c r="I39" s="9">
        <v>37</v>
      </c>
      <c r="J39" s="6">
        <v>0.9</v>
      </c>
      <c r="K39" s="7">
        <f>2.52/J39*I39</f>
        <v>103.6</v>
      </c>
      <c r="L39" s="10">
        <f>E39*I39</f>
        <v>185</v>
      </c>
    </row>
    <row r="40" spans="1:12">
      <c r="A40" s="3" t="s">
        <v>53</v>
      </c>
      <c r="B40" s="4" t="s">
        <v>25</v>
      </c>
      <c r="C40" s="5">
        <v>46221</v>
      </c>
      <c r="D40" s="37">
        <v>525</v>
      </c>
      <c r="E40" s="38">
        <v>5</v>
      </c>
      <c r="F40" s="39">
        <f>IF(E40=0,0,D40/E40)</f>
        <v>105</v>
      </c>
      <c r="G40" s="8">
        <f>IF(E40=0,0,SUMPRODUCT(F40:F40,J40:J40)/(I40*2.52))</f>
        <v>1.400462962962963</v>
      </c>
      <c r="H40" s="9">
        <f>G40*I40*E40</f>
        <v>252.08333333333337</v>
      </c>
      <c r="I40" s="9">
        <v>36</v>
      </c>
      <c r="J40" s="6">
        <v>1.21</v>
      </c>
      <c r="K40" s="7">
        <f>2.52/J40*I40</f>
        <v>74.975206611570258</v>
      </c>
      <c r="L40" s="10">
        <f>E40*I40</f>
        <v>180</v>
      </c>
    </row>
    <row r="41" spans="1:12">
      <c r="A41" s="21" t="s">
        <v>54</v>
      </c>
      <c r="B41" s="22"/>
      <c r="C41" s="23"/>
      <c r="D41" s="11">
        <f>SUM(D5:D40)</f>
        <v>21500</v>
      </c>
      <c r="E41" s="12">
        <f>SUM(E5:E40)</f>
        <v>100</v>
      </c>
      <c r="F41" s="13"/>
      <c r="G41" s="14">
        <f>SUM(H5:H40)/L41</f>
        <v>1.7670138888888889</v>
      </c>
      <c r="H41" s="11"/>
      <c r="I41" s="11">
        <f>SUM(I5:I40)</f>
        <v>736</v>
      </c>
      <c r="J41" s="11"/>
      <c r="K41" s="13"/>
      <c r="L41" s="15">
        <f>SUM(L5:L40)</f>
        <v>3680</v>
      </c>
    </row>
    <row r="42" spans="1:12" ht="13.5" thickBot="1">
      <c r="A42" s="24" t="s">
        <v>55</v>
      </c>
      <c r="B42" s="25"/>
      <c r="C42" s="26"/>
      <c r="D42" s="16">
        <f>SUMIF(A5:A41, "&lt;&gt;Summary", D5:D41)</f>
        <v>21500</v>
      </c>
      <c r="E42" s="17">
        <f>SUMIF(A5:A41, "&lt;&gt;Summary", E5:E41)</f>
        <v>100</v>
      </c>
      <c r="F42" s="18"/>
      <c r="G42" s="19">
        <f>SUMIF(A5:A41, "&lt;&gt;Summary", H5:H41)/L42</f>
        <v>1.7670138888888889</v>
      </c>
      <c r="H42" s="16"/>
      <c r="I42" s="16">
        <f>SUMIF(A5:A41, "&lt;&gt;Summary", I5:I41)</f>
        <v>736</v>
      </c>
      <c r="J42" s="16"/>
      <c r="K42" s="18"/>
      <c r="L42" s="20">
        <f>SUMIF(A5:A41, "&lt;&gt;Summary", L5:L41)</f>
        <v>3680</v>
      </c>
    </row>
    <row r="43" spans="1:12" ht="13.5" thickTop="1"/>
    <row r="44" spans="1:12">
      <c r="C44" s="36" t="s">
        <v>56</v>
      </c>
      <c r="D44" s="36">
        <f>SUM(H5:H10)/SUM(L5:L10)</f>
        <v>1.660960960960961</v>
      </c>
    </row>
    <row r="45" spans="1:12">
      <c r="C45" s="36" t="s">
        <v>57</v>
      </c>
      <c r="D45" s="36">
        <f>SUM(H11:H25)/SUM(L11:L25)</f>
        <v>1.682063492063492</v>
      </c>
    </row>
    <row r="46" spans="1:12">
      <c r="C46" s="36" t="s">
        <v>58</v>
      </c>
      <c r="D46" s="36">
        <f>SUM(H26:H33)/SUM(L26:L33)</f>
        <v>1.8560831781502172</v>
      </c>
    </row>
    <row r="47" spans="1:12">
      <c r="C47" s="36" t="s">
        <v>59</v>
      </c>
      <c r="D47" s="36">
        <f>SUM(H34:H40)/SUM(L34:L40)</f>
        <v>1.8707155589508531</v>
      </c>
    </row>
  </sheetData>
  <mergeCells count="54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3:A16"/>
    <mergeCell ref="E13:E16"/>
    <mergeCell ref="G13:G16"/>
    <mergeCell ref="H13:H16"/>
    <mergeCell ref="I13:I16"/>
    <mergeCell ref="A6:A7"/>
    <mergeCell ref="E6:E7"/>
    <mergeCell ref="G6:G7"/>
    <mergeCell ref="H6:H7"/>
    <mergeCell ref="I6:I7"/>
    <mergeCell ref="A24:A25"/>
    <mergeCell ref="E24:E25"/>
    <mergeCell ref="G24:G25"/>
    <mergeCell ref="H24:H25"/>
    <mergeCell ref="I24:I25"/>
    <mergeCell ref="A17:A23"/>
    <mergeCell ref="E17:E23"/>
    <mergeCell ref="G17:G23"/>
    <mergeCell ref="H17:H23"/>
    <mergeCell ref="I17:I23"/>
    <mergeCell ref="A29:A30"/>
    <mergeCell ref="E29:E30"/>
    <mergeCell ref="G29:G30"/>
    <mergeCell ref="H29:H30"/>
    <mergeCell ref="I29:I30"/>
    <mergeCell ref="A26:A28"/>
    <mergeCell ref="E26:E28"/>
    <mergeCell ref="G26:G28"/>
    <mergeCell ref="H26:H28"/>
    <mergeCell ref="I26:I28"/>
    <mergeCell ref="H35:H36"/>
    <mergeCell ref="I35:I36"/>
    <mergeCell ref="A37:A38"/>
    <mergeCell ref="E37:E38"/>
    <mergeCell ref="G37:G38"/>
    <mergeCell ref="H37:H38"/>
    <mergeCell ref="I37:I38"/>
    <mergeCell ref="A41:C41"/>
    <mergeCell ref="A42:C42"/>
    <mergeCell ref="A35:A36"/>
    <mergeCell ref="E35:E36"/>
    <mergeCell ref="G35:G36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2026-08-03T00:58:53Z</dcterms:created>
  <dcterms:modified xsi:type="dcterms:W3CDTF">2026-08-03T01:02:43Z</dcterms:modified>
</cp:coreProperties>
</file>