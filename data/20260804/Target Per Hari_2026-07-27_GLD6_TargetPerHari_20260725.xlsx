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8" i="1"/>
  <c r="D47"/>
  <c r="D46"/>
  <c r="D45"/>
  <c r="I43"/>
  <c r="E43"/>
  <c r="D43"/>
  <c r="I42"/>
  <c r="E42"/>
  <c r="D42"/>
  <c r="L41"/>
  <c r="G41"/>
  <c r="H41" s="1"/>
  <c r="K41"/>
  <c r="F41"/>
  <c r="L40"/>
  <c r="H40"/>
  <c r="G40"/>
  <c r="K40"/>
  <c r="F40"/>
  <c r="L38"/>
  <c r="K39"/>
  <c r="F39"/>
  <c r="K38"/>
  <c r="F38"/>
  <c r="G38" s="1"/>
  <c r="H38" s="1"/>
  <c r="L36"/>
  <c r="K37"/>
  <c r="F37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1"/>
  <c r="K32"/>
  <c r="F32"/>
  <c r="K31"/>
  <c r="F31"/>
  <c r="G31" s="1"/>
  <c r="H31" s="1"/>
  <c r="L29"/>
  <c r="K30"/>
  <c r="F30"/>
  <c r="K29"/>
  <c r="F29"/>
  <c r="G29" s="1"/>
  <c r="H29" s="1"/>
  <c r="L27"/>
  <c r="K28"/>
  <c r="F28"/>
  <c r="K27"/>
  <c r="F27"/>
  <c r="G27" s="1"/>
  <c r="H27" s="1"/>
  <c r="L25"/>
  <c r="K26"/>
  <c r="F26"/>
  <c r="K25"/>
  <c r="F25"/>
  <c r="G25" s="1"/>
  <c r="H25" s="1"/>
  <c r="L23"/>
  <c r="K24"/>
  <c r="F24"/>
  <c r="K23"/>
  <c r="F23"/>
  <c r="G23" s="1"/>
  <c r="H23" s="1"/>
  <c r="L18"/>
  <c r="K22"/>
  <c r="F22"/>
  <c r="K21"/>
  <c r="F21"/>
  <c r="K20"/>
  <c r="F20"/>
  <c r="K19"/>
  <c r="F19"/>
  <c r="K18"/>
  <c r="F18"/>
  <c r="G18" s="1"/>
  <c r="H18" s="1"/>
  <c r="L17"/>
  <c r="G17"/>
  <c r="H17" s="1"/>
  <c r="K17"/>
  <c r="F17"/>
  <c r="L16"/>
  <c r="G16"/>
  <c r="H16" s="1"/>
  <c r="K16"/>
  <c r="F16"/>
  <c r="L15"/>
  <c r="K15"/>
  <c r="F15"/>
  <c r="G15" s="1"/>
  <c r="H15" s="1"/>
  <c r="L14"/>
  <c r="K14"/>
  <c r="F14"/>
  <c r="G14" s="1"/>
  <c r="H14" s="1"/>
  <c r="L11"/>
  <c r="K13"/>
  <c r="F13"/>
  <c r="K12"/>
  <c r="F12"/>
  <c r="G11" s="1"/>
  <c r="H11" s="1"/>
  <c r="K11"/>
  <c r="F11"/>
  <c r="L10"/>
  <c r="H10"/>
  <c r="G10"/>
  <c r="K10"/>
  <c r="F10"/>
  <c r="L7"/>
  <c r="K9"/>
  <c r="F9"/>
  <c r="K8"/>
  <c r="F8"/>
  <c r="K7"/>
  <c r="F7"/>
  <c r="G7" s="1"/>
  <c r="H7" s="1"/>
  <c r="L5"/>
  <c r="L43" s="1"/>
  <c r="G43" s="1"/>
  <c r="K6"/>
  <c r="F6"/>
  <c r="K5"/>
  <c r="F5"/>
  <c r="G5" s="1"/>
  <c r="H5" s="1"/>
  <c r="L42" l="1"/>
  <c r="G42" s="1"/>
</calcChain>
</file>

<file path=xl/sharedStrings.xml><?xml version="1.0" encoding="utf-8"?>
<sst xmlns="http://schemas.openxmlformats.org/spreadsheetml/2006/main" count="76" uniqueCount="58">
  <si>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</si>
  <si>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</si>
  <si>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</si>
  <si>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</si>
  <si>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</si>
  <si>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</si>
  <si>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</si>
  <si>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</si>
  <si>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</si>
  <si>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</si>
  <si>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</si>
  <si>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</si>
  <si>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</si>
  <si>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</si>
  <si>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45M87P_C426</t>
  </si>
  <si>
    <t>1182430_HO26_HT</t>
  </si>
  <si>
    <t>6-02</t>
  </si>
  <si>
    <t>G917K0_C426</t>
  </si>
  <si>
    <t>6-03</t>
  </si>
  <si>
    <t>CPW264TL38</t>
  </si>
  <si>
    <t>6-04</t>
  </si>
  <si>
    <t>766362_HO26</t>
  </si>
  <si>
    <t>CPM263TL32_26Q4</t>
  </si>
  <si>
    <t>6-05</t>
  </si>
  <si>
    <t>1184404_HO26</t>
  </si>
  <si>
    <t>6-06</t>
  </si>
  <si>
    <t>777362_VMI</t>
  </si>
  <si>
    <t>6-07</t>
  </si>
  <si>
    <t>CPM263PA05_26Q4</t>
  </si>
  <si>
    <t>6-08</t>
  </si>
  <si>
    <t>6-09</t>
  </si>
  <si>
    <t>W9ZMM8_7PK_C426/2-Panties</t>
  </si>
  <si>
    <t>W9ZMM8_7PK_C426/3-Panties</t>
  </si>
  <si>
    <t>W9ZMM8_7PK_C426/4-Panties</t>
  </si>
  <si>
    <t>W9ZMM8_7PK_C426/6-Panties</t>
  </si>
  <si>
    <t>W9ZMM8_7PK_C426/7-Panties</t>
  </si>
  <si>
    <t>6-10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</si>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</sst>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pane ySplit="4" topLeftCell="A11" activePane="bottomLeft" state="frozen"/>
      <selection pane="bottomLeft" activeCell="D5" sqref="D5:F4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46228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46206</v>
      </c>
      <c r="D5" s="37">
        <v>119</v>
      </c>
      <c r="E5" s="38">
        <v>5</v>
      </c>
      <c r="F5" s="39">
        <f>IF(E5=0,0,D5/E5)</f>
        <v>23.8</v>
      </c>
      <c r="G5" s="28">
        <f>IF(E5=0,0,SUMPRODUCT(F5:F6,J5:J6)/(I5*2.52))</f>
        <v>0.51495066495066499</v>
      </c>
      <c r="H5" s="29">
        <f>G5*I5*E5</f>
        <v>95.265873015873012</v>
      </c>
      <c r="I5" s="29">
        <v>37</v>
      </c>
      <c r="J5" s="5">
        <v>1.67</v>
      </c>
      <c r="K5" s="6">
        <f>2.52/J5*I5</f>
        <v>55.832335329341319</v>
      </c>
      <c r="L5" s="7">
        <f>E5*I5</f>
        <v>185</v>
      </c>
    </row>
    <row r="6" spans="1:12">
      <c r="A6" s="27"/>
      <c r="B6" s="3" t="s">
        <v>15</v>
      </c>
      <c r="C6" s="4">
        <v>46228</v>
      </c>
      <c r="D6" s="37">
        <v>53</v>
      </c>
      <c r="E6" s="38"/>
      <c r="F6" s="39">
        <f>IF(E5=0,0,D6/E5)</f>
        <v>10.6</v>
      </c>
      <c r="G6" s="28"/>
      <c r="H6" s="29"/>
      <c r="I6" s="29"/>
      <c r="J6" s="5">
        <v>0.78</v>
      </c>
      <c r="K6" s="6">
        <f>2.52/J6*I5</f>
        <v>119.53846153846155</v>
      </c>
      <c r="L6" s="7"/>
    </row>
    <row r="7" spans="1:12">
      <c r="A7" s="27" t="s">
        <v>16</v>
      </c>
      <c r="B7" s="3" t="s">
        <v>17</v>
      </c>
      <c r="C7" s="4">
        <v>46176</v>
      </c>
      <c r="D7" s="37">
        <v>15</v>
      </c>
      <c r="E7" s="38">
        <v>5</v>
      </c>
      <c r="F7" s="39">
        <f>IF(E7=0,0,D7/E7)</f>
        <v>3</v>
      </c>
      <c r="G7" s="28">
        <f>IF(E7=0,0,SUMPRODUCT(F7:F9,J7:J9)/(I7*2.52))</f>
        <v>2.3972001763668431</v>
      </c>
      <c r="H7" s="29">
        <f>G7*I7*E7</f>
        <v>431.4960317460318</v>
      </c>
      <c r="I7" s="29">
        <v>36</v>
      </c>
      <c r="J7" s="5">
        <v>1.25</v>
      </c>
      <c r="K7" s="6">
        <f>2.52/J7*I7</f>
        <v>72.575999999999993</v>
      </c>
      <c r="L7" s="7">
        <f>E7*I7</f>
        <v>180</v>
      </c>
    </row>
    <row r="8" spans="1:12">
      <c r="A8" s="27"/>
      <c r="B8" s="3" t="s">
        <v>17</v>
      </c>
      <c r="C8" s="4">
        <v>46176</v>
      </c>
      <c r="D8" s="37">
        <v>18</v>
      </c>
      <c r="E8" s="38"/>
      <c r="F8" s="39">
        <f>IF(E7=0,0,D8/E7)</f>
        <v>3.6</v>
      </c>
      <c r="G8" s="28"/>
      <c r="H8" s="29"/>
      <c r="I8" s="29"/>
      <c r="J8" s="5">
        <v>1.27</v>
      </c>
      <c r="K8" s="6">
        <f>2.52/J8*I7</f>
        <v>71.433070866141733</v>
      </c>
      <c r="L8" s="7"/>
    </row>
    <row r="9" spans="1:12">
      <c r="A9" s="27"/>
      <c r="B9" s="3" t="s">
        <v>17</v>
      </c>
      <c r="C9" s="4">
        <v>46176</v>
      </c>
      <c r="D9" s="37">
        <v>817</v>
      </c>
      <c r="E9" s="38"/>
      <c r="F9" s="39">
        <f>IF(E7=0,0,D9/E7)</f>
        <v>163.4</v>
      </c>
      <c r="G9" s="28"/>
      <c r="H9" s="29"/>
      <c r="I9" s="29"/>
      <c r="J9" s="5">
        <v>1.28</v>
      </c>
      <c r="K9" s="6">
        <f>2.52/J9*I7</f>
        <v>70.875</v>
      </c>
      <c r="L9" s="7"/>
    </row>
    <row r="10" spans="1:12">
      <c r="A10" s="8" t="s">
        <v>18</v>
      </c>
      <c r="B10" s="3" t="s">
        <v>19</v>
      </c>
      <c r="C10" s="4">
        <v>46224</v>
      </c>
      <c r="D10" s="37">
        <v>644</v>
      </c>
      <c r="E10" s="40">
        <v>5</v>
      </c>
      <c r="F10" s="39">
        <f>IF(E10=0,0,D10/E10)</f>
        <v>128.80000000000001</v>
      </c>
      <c r="G10" s="9">
        <f>IF(E10=0,0,SUMPRODUCT(F10:F10,J10:J10)/(I10*2.52))</f>
        <v>1.2105263157894739</v>
      </c>
      <c r="H10" s="10">
        <f>G10*I10*E10</f>
        <v>230.00000000000003</v>
      </c>
      <c r="I10" s="10">
        <v>38</v>
      </c>
      <c r="J10" s="5">
        <v>0.9</v>
      </c>
      <c r="K10" s="6">
        <f>2.52/J10*I10</f>
        <v>106.39999999999999</v>
      </c>
      <c r="L10" s="7">
        <f>E10*I10</f>
        <v>190</v>
      </c>
    </row>
    <row r="11" spans="1:12">
      <c r="A11" s="27" t="s">
        <v>20</v>
      </c>
      <c r="B11" s="3" t="s">
        <v>21</v>
      </c>
      <c r="C11" s="4">
        <v>46203</v>
      </c>
      <c r="D11" s="37">
        <v>78</v>
      </c>
      <c r="E11" s="38">
        <v>5</v>
      </c>
      <c r="F11" s="39">
        <f>IF(E11=0,0,D11/E11)</f>
        <v>15.6</v>
      </c>
      <c r="G11" s="28">
        <f>IF(E11=0,0,SUMPRODUCT(F11:F13,J11:J13)/(I11*2.52))</f>
        <v>0.64812030075187954</v>
      </c>
      <c r="H11" s="29">
        <f>G11*I11*E11</f>
        <v>123.14285714285711</v>
      </c>
      <c r="I11" s="29">
        <v>38</v>
      </c>
      <c r="J11" s="5">
        <v>0.85</v>
      </c>
      <c r="K11" s="6">
        <f>2.52/J11*I11</f>
        <v>112.65882352941176</v>
      </c>
      <c r="L11" s="7">
        <f>E11*I11</f>
        <v>190</v>
      </c>
    </row>
    <row r="12" spans="1:12">
      <c r="A12" s="27"/>
      <c r="B12" s="3" t="s">
        <v>21</v>
      </c>
      <c r="C12" s="4">
        <v>46203</v>
      </c>
      <c r="D12" s="37">
        <v>84</v>
      </c>
      <c r="E12" s="38"/>
      <c r="F12" s="39">
        <f>IF(E11=0,0,D12/E11)</f>
        <v>16.8</v>
      </c>
      <c r="G12" s="28"/>
      <c r="H12" s="29"/>
      <c r="I12" s="29"/>
      <c r="J12" s="5">
        <v>0.88</v>
      </c>
      <c r="K12" s="6">
        <f>2.52/J12*I11</f>
        <v>108.81818181818183</v>
      </c>
      <c r="L12" s="7"/>
    </row>
    <row r="13" spans="1:12">
      <c r="A13" s="27"/>
      <c r="B13" s="3" t="s">
        <v>22</v>
      </c>
      <c r="C13" s="4">
        <v>46228</v>
      </c>
      <c r="D13" s="37">
        <v>189</v>
      </c>
      <c r="E13" s="38"/>
      <c r="F13" s="39">
        <f>IF(E11=0,0,D13/E11)</f>
        <v>37.799999999999997</v>
      </c>
      <c r="G13" s="28"/>
      <c r="H13" s="29"/>
      <c r="I13" s="29"/>
      <c r="J13" s="5">
        <v>0.9</v>
      </c>
      <c r="K13" s="6">
        <f>2.52/J13*I11</f>
        <v>106.39999999999999</v>
      </c>
      <c r="L13" s="7"/>
    </row>
    <row r="14" spans="1:12">
      <c r="A14" s="8" t="s">
        <v>23</v>
      </c>
      <c r="B14" s="3" t="s">
        <v>24</v>
      </c>
      <c r="C14" s="4">
        <v>46223</v>
      </c>
      <c r="D14" s="37">
        <v>550</v>
      </c>
      <c r="E14" s="40">
        <v>5</v>
      </c>
      <c r="F14" s="39">
        <f>IF(E14=0,0,D14/E14)</f>
        <v>110</v>
      </c>
      <c r="G14" s="9">
        <f>IF(E14=0,0,SUMPRODUCT(F14:F14,J14:J14)/(I14*2.52))</f>
        <v>0.97278911564625847</v>
      </c>
      <c r="H14" s="10">
        <f>G14*I14*E14</f>
        <v>170.23809523809521</v>
      </c>
      <c r="I14" s="10">
        <v>35</v>
      </c>
      <c r="J14" s="5">
        <v>0.78</v>
      </c>
      <c r="K14" s="6">
        <f>2.52/J14*I14</f>
        <v>113.07692307692308</v>
      </c>
      <c r="L14" s="7">
        <f>E14*I14</f>
        <v>175</v>
      </c>
    </row>
    <row r="15" spans="1:12">
      <c r="A15" s="8" t="s">
        <v>25</v>
      </c>
      <c r="B15" s="3" t="s">
        <v>26</v>
      </c>
      <c r="C15" s="4">
        <v>46122</v>
      </c>
      <c r="D15" s="37">
        <v>901</v>
      </c>
      <c r="E15" s="40">
        <v>5</v>
      </c>
      <c r="F15" s="39">
        <f>IF(E15=0,0,D15/E15)</f>
        <v>180.2</v>
      </c>
      <c r="G15" s="9">
        <f>IF(E15=0,0,SUMPRODUCT(F15:F15,J15:J15)/(I15*2.52))</f>
        <v>2.0856481481481484</v>
      </c>
      <c r="H15" s="10">
        <f>G15*I15*E15</f>
        <v>375.41666666666674</v>
      </c>
      <c r="I15" s="10">
        <v>36</v>
      </c>
      <c r="J15" s="5">
        <v>1.05</v>
      </c>
      <c r="K15" s="6">
        <f>2.52/J15*I15</f>
        <v>86.399999999999991</v>
      </c>
      <c r="L15" s="7">
        <f>E15*I15</f>
        <v>180</v>
      </c>
    </row>
    <row r="16" spans="1:12">
      <c r="A16" s="8" t="s">
        <v>27</v>
      </c>
      <c r="B16" s="3" t="s">
        <v>28</v>
      </c>
      <c r="C16" s="4">
        <v>46225</v>
      </c>
      <c r="D16" s="37">
        <v>342</v>
      </c>
      <c r="E16" s="40">
        <v>5</v>
      </c>
      <c r="F16" s="39">
        <f>IF(E16=0,0,D16/E16)</f>
        <v>68.400000000000006</v>
      </c>
      <c r="G16" s="9">
        <f>IF(E16=0,0,SUMPRODUCT(F16:F16,J16:J16)/(I16*2.52))</f>
        <v>0.88764478764478782</v>
      </c>
      <c r="H16" s="10">
        <f>G16*I16*E16</f>
        <v>164.21428571428575</v>
      </c>
      <c r="I16" s="10">
        <v>37</v>
      </c>
      <c r="J16" s="5">
        <v>1.21</v>
      </c>
      <c r="K16" s="6">
        <f>2.52/J16*I16</f>
        <v>77.057851239669432</v>
      </c>
      <c r="L16" s="7">
        <f>E16*I16</f>
        <v>185</v>
      </c>
    </row>
    <row r="17" spans="1:12">
      <c r="A17" s="8" t="s">
        <v>29</v>
      </c>
      <c r="B17" s="3" t="s">
        <v>21</v>
      </c>
      <c r="C17" s="4">
        <v>46213</v>
      </c>
      <c r="D17" s="37">
        <v>1057</v>
      </c>
      <c r="E17" s="40">
        <v>5</v>
      </c>
      <c r="F17" s="39">
        <f>IF(E17=0,0,D17/E17)</f>
        <v>211.4</v>
      </c>
      <c r="G17" s="9">
        <f>IF(E17=0,0,SUMPRODUCT(F17:F17,J17:J17)/(I17*2.52))</f>
        <v>1.8283475783475782</v>
      </c>
      <c r="H17" s="10">
        <f>G17*I17*E17</f>
        <v>356.52777777777777</v>
      </c>
      <c r="I17" s="10">
        <v>39</v>
      </c>
      <c r="J17" s="5">
        <v>0.85</v>
      </c>
      <c r="K17" s="6">
        <f>2.52/J17*I17</f>
        <v>115.62352941176471</v>
      </c>
      <c r="L17" s="7">
        <f>E17*I17</f>
        <v>195</v>
      </c>
    </row>
    <row r="18" spans="1:12">
      <c r="A18" s="27" t="s">
        <v>30</v>
      </c>
      <c r="B18" s="5" t="s">
        <v>31</v>
      </c>
      <c r="C18" s="4">
        <v>46206</v>
      </c>
      <c r="D18" s="37">
        <v>2750</v>
      </c>
      <c r="E18" s="38">
        <v>5</v>
      </c>
      <c r="F18" s="39">
        <f>IF(E18=0,0,D18/E18)</f>
        <v>550</v>
      </c>
      <c r="G18" s="28">
        <f>IF(E18=0,0,SUMPRODUCT(F18:F22,J18:J22)/(I18*2.52))</f>
        <v>2.3745173745173749</v>
      </c>
      <c r="H18" s="29">
        <f>G18*I18*E18</f>
        <v>439.28571428571439</v>
      </c>
      <c r="I18" s="29">
        <v>37</v>
      </c>
      <c r="J18" s="5">
        <v>0.2</v>
      </c>
      <c r="K18" s="6">
        <f>2.52/J18*I18</f>
        <v>466.2</v>
      </c>
      <c r="L18" s="7">
        <f>E18*I18</f>
        <v>185</v>
      </c>
    </row>
    <row r="19" spans="1:12">
      <c r="A19" s="27"/>
      <c r="B19" s="5" t="s">
        <v>32</v>
      </c>
      <c r="C19" s="4">
        <v>46206</v>
      </c>
      <c r="D19" s="37">
        <v>70</v>
      </c>
      <c r="E19" s="38"/>
      <c r="F19" s="39">
        <f>IF(E18=0,0,D19/E18)</f>
        <v>14</v>
      </c>
      <c r="G19" s="28"/>
      <c r="H19" s="29"/>
      <c r="I19" s="29"/>
      <c r="J19" s="5">
        <v>0.2</v>
      </c>
      <c r="K19" s="6">
        <f>2.52/J19*I18</f>
        <v>466.2</v>
      </c>
      <c r="L19" s="7"/>
    </row>
    <row r="20" spans="1:12">
      <c r="A20" s="27"/>
      <c r="B20" s="5" t="s">
        <v>33</v>
      </c>
      <c r="C20" s="4">
        <v>46206</v>
      </c>
      <c r="D20" s="37">
        <v>2400</v>
      </c>
      <c r="E20" s="38"/>
      <c r="F20" s="39">
        <f>IF(E18=0,0,D20/E18)</f>
        <v>480</v>
      </c>
      <c r="G20" s="28"/>
      <c r="H20" s="29"/>
      <c r="I20" s="29"/>
      <c r="J20" s="5">
        <v>0.2</v>
      </c>
      <c r="K20" s="6">
        <f>2.52/J20*I18</f>
        <v>466.2</v>
      </c>
      <c r="L20" s="7"/>
    </row>
    <row r="21" spans="1:12">
      <c r="A21" s="27"/>
      <c r="B21" s="5" t="s">
        <v>34</v>
      </c>
      <c r="C21" s="4">
        <v>46206</v>
      </c>
      <c r="D21" s="37">
        <v>0</v>
      </c>
      <c r="E21" s="38"/>
      <c r="F21" s="39">
        <f>IF(E18=0,0,D21/E18)</f>
        <v>0</v>
      </c>
      <c r="G21" s="28"/>
      <c r="H21" s="29"/>
      <c r="I21" s="29"/>
      <c r="J21" s="5">
        <v>0.21</v>
      </c>
      <c r="K21" s="6">
        <f>2.52/J21*I18</f>
        <v>444</v>
      </c>
      <c r="L21" s="7"/>
    </row>
    <row r="22" spans="1:12">
      <c r="A22" s="27"/>
      <c r="B22" s="5" t="s">
        <v>35</v>
      </c>
      <c r="C22" s="4">
        <v>46206</v>
      </c>
      <c r="D22" s="37">
        <v>300</v>
      </c>
      <c r="E22" s="38"/>
      <c r="F22" s="39">
        <f>IF(E18=0,0,D22/E18)</f>
        <v>60</v>
      </c>
      <c r="G22" s="28"/>
      <c r="H22" s="29"/>
      <c r="I22" s="29"/>
      <c r="J22" s="5">
        <v>0.21</v>
      </c>
      <c r="K22" s="6">
        <f>2.52/J22*I18</f>
        <v>444</v>
      </c>
      <c r="L22" s="7"/>
    </row>
    <row r="23" spans="1:12">
      <c r="A23" s="27" t="s">
        <v>36</v>
      </c>
      <c r="B23" s="3" t="s">
        <v>37</v>
      </c>
      <c r="C23" s="4">
        <v>46223</v>
      </c>
      <c r="D23" s="37">
        <v>277</v>
      </c>
      <c r="E23" s="38">
        <v>5</v>
      </c>
      <c r="F23" s="39">
        <f>IF(E23=0,0,D23/E23)</f>
        <v>55.4</v>
      </c>
      <c r="G23" s="28">
        <f>IF(E23=0,0,SUMPRODUCT(F23:F24,J23:J24)/(I23*2.52))</f>
        <v>1.1237050960735171</v>
      </c>
      <c r="H23" s="29">
        <f>G23*I23*E23</f>
        <v>213.50396825396825</v>
      </c>
      <c r="I23" s="29">
        <v>38</v>
      </c>
      <c r="J23" s="5">
        <v>1.1499999999999999</v>
      </c>
      <c r="K23" s="6">
        <f>2.52/J23*I23</f>
        <v>83.269565217391317</v>
      </c>
      <c r="L23" s="7">
        <f>E23*I23</f>
        <v>190</v>
      </c>
    </row>
    <row r="24" spans="1:12">
      <c r="A24" s="27"/>
      <c r="B24" s="3" t="s">
        <v>37</v>
      </c>
      <c r="C24" s="4">
        <v>46223</v>
      </c>
      <c r="D24" s="37">
        <v>186</v>
      </c>
      <c r="E24" s="38"/>
      <c r="F24" s="39">
        <f>IF(E23=0,0,D24/E23)</f>
        <v>37.200000000000003</v>
      </c>
      <c r="G24" s="28"/>
      <c r="H24" s="29"/>
      <c r="I24" s="29"/>
      <c r="J24" s="5">
        <v>1.18</v>
      </c>
      <c r="K24" s="6">
        <f>2.52/J24*I23</f>
        <v>81.152542372881356</v>
      </c>
      <c r="L24" s="7"/>
    </row>
    <row r="25" spans="1:12">
      <c r="A25" s="27" t="s">
        <v>38</v>
      </c>
      <c r="B25" s="3" t="s">
        <v>39</v>
      </c>
      <c r="C25" s="4">
        <v>46162</v>
      </c>
      <c r="D25" s="37">
        <v>241</v>
      </c>
      <c r="E25" s="38">
        <v>5</v>
      </c>
      <c r="F25" s="39">
        <f>IF(E25=0,0,D25/E25)</f>
        <v>48.2</v>
      </c>
      <c r="G25" s="28">
        <f>IF(E25=0,0,SUMPRODUCT(F25:F26,J25:J26)/(I25*2.52))</f>
        <v>2.330005120327701</v>
      </c>
      <c r="H25" s="29">
        <f>G25*I25*E25</f>
        <v>361.15079365079367</v>
      </c>
      <c r="I25" s="29">
        <v>31</v>
      </c>
      <c r="J25" s="5">
        <v>0.87</v>
      </c>
      <c r="K25" s="6">
        <f>2.52/J25*I25</f>
        <v>89.793103448275858</v>
      </c>
      <c r="L25" s="7">
        <f>E25*I25</f>
        <v>155</v>
      </c>
    </row>
    <row r="26" spans="1:12">
      <c r="A26" s="27"/>
      <c r="B26" s="3" t="s">
        <v>39</v>
      </c>
      <c r="C26" s="4">
        <v>46162</v>
      </c>
      <c r="D26" s="37">
        <v>787</v>
      </c>
      <c r="E26" s="38"/>
      <c r="F26" s="39">
        <f>IF(E25=0,0,D26/E25)</f>
        <v>157.4</v>
      </c>
      <c r="G26" s="28"/>
      <c r="H26" s="29"/>
      <c r="I26" s="29"/>
      <c r="J26" s="5">
        <v>0.89</v>
      </c>
      <c r="K26" s="6">
        <f>2.52/J26*I25</f>
        <v>87.775280898876403</v>
      </c>
      <c r="L26" s="7"/>
    </row>
    <row r="27" spans="1:12">
      <c r="A27" s="27" t="s">
        <v>40</v>
      </c>
      <c r="B27" s="3" t="s">
        <v>41</v>
      </c>
      <c r="C27" s="4">
        <v>46211</v>
      </c>
      <c r="D27" s="37">
        <v>62</v>
      </c>
      <c r="E27" s="38">
        <v>5</v>
      </c>
      <c r="F27" s="39">
        <f>IF(E27=0,0,D27/E27)</f>
        <v>12.4</v>
      </c>
      <c r="G27" s="28">
        <f>IF(E27=0,0,SUMPRODUCT(F27:F28,J27:J28)/(I27*2.52))</f>
        <v>1.6508343508343508</v>
      </c>
      <c r="H27" s="29">
        <f>G27*I27*E27</f>
        <v>321.91269841269843</v>
      </c>
      <c r="I27" s="29">
        <v>39</v>
      </c>
      <c r="J27" s="5">
        <v>1.39</v>
      </c>
      <c r="K27" s="6">
        <f>2.52/J27*I27</f>
        <v>70.705035971223026</v>
      </c>
      <c r="L27" s="7">
        <f>E27*I27</f>
        <v>195</v>
      </c>
    </row>
    <row r="28" spans="1:12">
      <c r="A28" s="27"/>
      <c r="B28" s="3" t="s">
        <v>41</v>
      </c>
      <c r="C28" s="4">
        <v>46211</v>
      </c>
      <c r="D28" s="37">
        <v>477</v>
      </c>
      <c r="E28" s="38"/>
      <c r="F28" s="39">
        <f>IF(E27=0,0,D28/E27)</f>
        <v>95.4</v>
      </c>
      <c r="G28" s="28"/>
      <c r="H28" s="29"/>
      <c r="I28" s="29"/>
      <c r="J28" s="5">
        <v>1.52</v>
      </c>
      <c r="K28" s="6">
        <f>2.52/J28*I27</f>
        <v>64.65789473684211</v>
      </c>
      <c r="L28" s="7"/>
    </row>
    <row r="29" spans="1:12">
      <c r="A29" s="27" t="s">
        <v>42</v>
      </c>
      <c r="B29" s="3" t="s">
        <v>26</v>
      </c>
      <c r="C29" s="4">
        <v>46217</v>
      </c>
      <c r="D29" s="37">
        <v>7</v>
      </c>
      <c r="E29" s="38">
        <v>5</v>
      </c>
      <c r="F29" s="39">
        <f>IF(E29=0,0,D29/E29)</f>
        <v>1.4</v>
      </c>
      <c r="G29" s="28">
        <f>IF(E29=0,0,SUMPRODUCT(F29:F30,J29:J30)/(I29*2.52))</f>
        <v>0.61291486291486297</v>
      </c>
      <c r="H29" s="29">
        <f>G29*I29*E29</f>
        <v>101.13095238095239</v>
      </c>
      <c r="I29" s="29">
        <v>33</v>
      </c>
      <c r="J29" s="5">
        <v>1.05</v>
      </c>
      <c r="K29" s="6">
        <f>2.52/J29*I29</f>
        <v>79.2</v>
      </c>
      <c r="L29" s="7">
        <f>E29*I29</f>
        <v>165</v>
      </c>
    </row>
    <row r="30" spans="1:12">
      <c r="A30" s="27"/>
      <c r="B30" s="3" t="s">
        <v>43</v>
      </c>
      <c r="C30" s="4">
        <v>46227</v>
      </c>
      <c r="D30" s="37">
        <v>275</v>
      </c>
      <c r="E30" s="38"/>
      <c r="F30" s="39">
        <f>IF(E29=0,0,D30/E29)</f>
        <v>55</v>
      </c>
      <c r="G30" s="28"/>
      <c r="H30" s="29"/>
      <c r="I30" s="29"/>
      <c r="J30" s="5">
        <v>0.9</v>
      </c>
      <c r="K30" s="6">
        <f>2.52/J30*I29</f>
        <v>92.399999999999991</v>
      </c>
      <c r="L30" s="7"/>
    </row>
    <row r="31" spans="1:12">
      <c r="A31" s="27" t="s">
        <v>44</v>
      </c>
      <c r="B31" s="3" t="s">
        <v>45</v>
      </c>
      <c r="C31" s="4">
        <v>46202</v>
      </c>
      <c r="D31" s="37">
        <v>331</v>
      </c>
      <c r="E31" s="38">
        <v>5</v>
      </c>
      <c r="F31" s="39">
        <f>IF(E31=0,0,D31/E31)</f>
        <v>66.2</v>
      </c>
      <c r="G31" s="28">
        <f>IF(E31=0,0,SUMPRODUCT(F31:F32,J31:J32)/(I31*2.52))</f>
        <v>2.2906692406692408</v>
      </c>
      <c r="H31" s="29">
        <f>G31*I31*E31</f>
        <v>423.77380952380952</v>
      </c>
      <c r="I31" s="29">
        <v>37</v>
      </c>
      <c r="J31" s="5">
        <v>0.81</v>
      </c>
      <c r="K31" s="6">
        <f>2.52/J31*I31</f>
        <v>115.1111111111111</v>
      </c>
      <c r="L31" s="7">
        <f>E31*I31</f>
        <v>185</v>
      </c>
    </row>
    <row r="32" spans="1:12">
      <c r="A32" s="27"/>
      <c r="B32" s="3" t="s">
        <v>45</v>
      </c>
      <c r="C32" s="4">
        <v>46202</v>
      </c>
      <c r="D32" s="37">
        <v>930</v>
      </c>
      <c r="E32" s="38"/>
      <c r="F32" s="39">
        <f>IF(E31=0,0,D32/E31)</f>
        <v>186</v>
      </c>
      <c r="G32" s="28"/>
      <c r="H32" s="29"/>
      <c r="I32" s="29"/>
      <c r="J32" s="5">
        <v>0.86</v>
      </c>
      <c r="K32" s="6">
        <f>2.52/J32*I31</f>
        <v>108.41860465116278</v>
      </c>
      <c r="L32" s="7"/>
    </row>
    <row r="33" spans="1:12">
      <c r="A33" s="27" t="s">
        <v>46</v>
      </c>
      <c r="B33" s="3" t="s">
        <v>26</v>
      </c>
      <c r="C33" s="4">
        <v>46218</v>
      </c>
      <c r="D33" s="37">
        <v>82</v>
      </c>
      <c r="E33" s="38">
        <v>5</v>
      </c>
      <c r="F33" s="39">
        <f>IF(E33=0,0,D33/E33)</f>
        <v>16.399999999999999</v>
      </c>
      <c r="G33" s="28">
        <f>IF(E33=0,0,SUMPRODUCT(F33:F34,J33:J34)/(I33*2.52))</f>
        <v>1.1885456885456886</v>
      </c>
      <c r="H33" s="29">
        <f>G33*I33*E33</f>
        <v>219.88095238095241</v>
      </c>
      <c r="I33" s="29">
        <v>37</v>
      </c>
      <c r="J33" s="5">
        <v>1.05</v>
      </c>
      <c r="K33" s="6">
        <f>2.52/J33*I33</f>
        <v>88.8</v>
      </c>
      <c r="L33" s="7">
        <f>E33*I33</f>
        <v>185</v>
      </c>
    </row>
    <row r="34" spans="1:12">
      <c r="A34" s="27"/>
      <c r="B34" s="3" t="s">
        <v>22</v>
      </c>
      <c r="C34" s="4">
        <v>46223</v>
      </c>
      <c r="D34" s="37">
        <v>520</v>
      </c>
      <c r="E34" s="38"/>
      <c r="F34" s="39">
        <f>IF(E33=0,0,D34/E33)</f>
        <v>104</v>
      </c>
      <c r="G34" s="28"/>
      <c r="H34" s="29"/>
      <c r="I34" s="29"/>
      <c r="J34" s="5">
        <v>0.9</v>
      </c>
      <c r="K34" s="6">
        <f>2.52/J34*I33</f>
        <v>103.6</v>
      </c>
      <c r="L34" s="7"/>
    </row>
    <row r="35" spans="1:12">
      <c r="A35" s="8" t="s">
        <v>47</v>
      </c>
      <c r="B35" s="3" t="s">
        <v>45</v>
      </c>
      <c r="C35" s="4">
        <v>46213</v>
      </c>
      <c r="D35" s="37">
        <v>1255</v>
      </c>
      <c r="E35" s="40">
        <v>5</v>
      </c>
      <c r="F35" s="39">
        <f>IF(E35=0,0,D35/E35)</f>
        <v>251</v>
      </c>
      <c r="G35" s="9">
        <f>IF(E35=0,0,SUMPRODUCT(F35:F35,J35:J35)/(I35*2.52))</f>
        <v>2.1231203007518795</v>
      </c>
      <c r="H35" s="10">
        <f>G35*I35*E35</f>
        <v>403.39285714285711</v>
      </c>
      <c r="I35" s="10">
        <v>38</v>
      </c>
      <c r="J35" s="5">
        <v>0.81</v>
      </c>
      <c r="K35" s="6">
        <f>2.52/J35*I35</f>
        <v>118.2222222222222</v>
      </c>
      <c r="L35" s="7">
        <f>E35*I35</f>
        <v>190</v>
      </c>
    </row>
    <row r="36" spans="1:12">
      <c r="A36" s="27" t="s">
        <v>48</v>
      </c>
      <c r="B36" s="3" t="s">
        <v>45</v>
      </c>
      <c r="C36" s="4">
        <v>46165</v>
      </c>
      <c r="D36" s="37">
        <v>1225</v>
      </c>
      <c r="E36" s="38">
        <v>5</v>
      </c>
      <c r="F36" s="39">
        <f>IF(E36=0,0,D36/E36)</f>
        <v>245</v>
      </c>
      <c r="G36" s="28">
        <f>IF(E36=0,0,SUMPRODUCT(F36:F37,J36:J37)/(I36*2.52))</f>
        <v>2.1422096908939015</v>
      </c>
      <c r="H36" s="29">
        <f>G36*I36*E36</f>
        <v>407.01984126984132</v>
      </c>
      <c r="I36" s="29">
        <v>38</v>
      </c>
      <c r="J36" s="5">
        <v>0.81</v>
      </c>
      <c r="K36" s="6">
        <f>2.52/J36*I36</f>
        <v>118.2222222222222</v>
      </c>
      <c r="L36" s="7">
        <f>E36*I36</f>
        <v>190</v>
      </c>
    </row>
    <row r="37" spans="1:12">
      <c r="A37" s="27"/>
      <c r="B37" s="3" t="s">
        <v>45</v>
      </c>
      <c r="C37" s="4">
        <v>46165</v>
      </c>
      <c r="D37" s="37">
        <v>38</v>
      </c>
      <c r="E37" s="38"/>
      <c r="F37" s="39">
        <f>IF(E36=0,0,D37/E36)</f>
        <v>7.6</v>
      </c>
      <c r="G37" s="28"/>
      <c r="H37" s="29"/>
      <c r="I37" s="29"/>
      <c r="J37" s="5">
        <v>0.88</v>
      </c>
      <c r="K37" s="6">
        <f>2.52/J37*I36</f>
        <v>108.81818181818183</v>
      </c>
      <c r="L37" s="7"/>
    </row>
    <row r="38" spans="1:12">
      <c r="A38" s="27" t="s">
        <v>49</v>
      </c>
      <c r="B38" s="3" t="s">
        <v>41</v>
      </c>
      <c r="C38" s="4">
        <v>46210</v>
      </c>
      <c r="D38" s="37">
        <v>725</v>
      </c>
      <c r="E38" s="38">
        <v>5</v>
      </c>
      <c r="F38" s="39">
        <f>IF(E38=0,0,D38/E38)</f>
        <v>145</v>
      </c>
      <c r="G38" s="28">
        <f>IF(E38=0,0,SUMPRODUCT(F38:F39,J38:J39)/(I38*2.52))</f>
        <v>2.0507733007733004</v>
      </c>
      <c r="H38" s="29">
        <f>G38*I38*E38</f>
        <v>399.90079365079362</v>
      </c>
      <c r="I38" s="29">
        <v>39</v>
      </c>
      <c r="J38" s="5">
        <v>1.39</v>
      </c>
      <c r="K38" s="6">
        <f>2.52/J38*I38</f>
        <v>70.705035971223026</v>
      </c>
      <c r="L38" s="7">
        <f>E38*I38</f>
        <v>195</v>
      </c>
    </row>
    <row r="39" spans="1:12">
      <c r="A39" s="27"/>
      <c r="B39" s="3" t="s">
        <v>41</v>
      </c>
      <c r="C39" s="4">
        <v>46210</v>
      </c>
      <c r="D39" s="37">
        <v>0</v>
      </c>
      <c r="E39" s="38"/>
      <c r="F39" s="39">
        <f>IF(E38=0,0,D39/E38)</f>
        <v>0</v>
      </c>
      <c r="G39" s="28"/>
      <c r="H39" s="29"/>
      <c r="I39" s="29"/>
      <c r="J39" s="5">
        <v>1.52</v>
      </c>
      <c r="K39" s="6">
        <f>2.52/J39*I38</f>
        <v>64.65789473684211</v>
      </c>
      <c r="L39" s="7"/>
    </row>
    <row r="40" spans="1:12">
      <c r="A40" s="8" t="s">
        <v>50</v>
      </c>
      <c r="B40" s="3" t="s">
        <v>43</v>
      </c>
      <c r="C40" s="4">
        <v>46227</v>
      </c>
      <c r="D40" s="37">
        <v>406</v>
      </c>
      <c r="E40" s="40">
        <v>5</v>
      </c>
      <c r="F40" s="39">
        <f>IF(E40=0,0,D40/E40)</f>
        <v>81.2</v>
      </c>
      <c r="G40" s="9">
        <f>IF(E40=0,0,SUMPRODUCT(F40:F40,J40:J40)/(I40*2.52))</f>
        <v>0.80555555555555558</v>
      </c>
      <c r="H40" s="10">
        <f>G40*I40*E40</f>
        <v>145</v>
      </c>
      <c r="I40" s="10">
        <v>36</v>
      </c>
      <c r="J40" s="5">
        <v>0.9</v>
      </c>
      <c r="K40" s="6">
        <f>2.52/J40*I40</f>
        <v>100.8</v>
      </c>
      <c r="L40" s="7">
        <f>E40*I40</f>
        <v>180</v>
      </c>
    </row>
    <row r="41" spans="1:12">
      <c r="A41" s="8" t="s">
        <v>51</v>
      </c>
      <c r="B41" s="3" t="s">
        <v>28</v>
      </c>
      <c r="C41" s="4">
        <v>46221</v>
      </c>
      <c r="D41" s="37">
        <v>405</v>
      </c>
      <c r="E41" s="40">
        <v>5</v>
      </c>
      <c r="F41" s="39">
        <f>IF(E41=0,0,D41/E41)</f>
        <v>81</v>
      </c>
      <c r="G41" s="9">
        <f>IF(E41=0,0,SUMPRODUCT(F41:F41,J41:J41)/(I41*2.52))</f>
        <v>1.0511583011583012</v>
      </c>
      <c r="H41" s="10">
        <f>G41*I41*E41</f>
        <v>194.46428571428572</v>
      </c>
      <c r="I41" s="10">
        <v>37</v>
      </c>
      <c r="J41" s="5">
        <v>1.21</v>
      </c>
      <c r="K41" s="6">
        <f>2.52/J41*I41</f>
        <v>77.057851239669432</v>
      </c>
      <c r="L41" s="7">
        <f>E41*I41</f>
        <v>185</v>
      </c>
    </row>
    <row r="42" spans="1:12">
      <c r="A42" s="21" t="s">
        <v>52</v>
      </c>
      <c r="B42" s="22"/>
      <c r="C42" s="23"/>
      <c r="D42" s="11">
        <f>SUM(D5:D41)</f>
        <v>18616</v>
      </c>
      <c r="E42" s="12">
        <f>SUM(E5:E41)</f>
        <v>100</v>
      </c>
      <c r="F42" s="13"/>
      <c r="G42" s="14">
        <f>SUM(H5:H41)/L42</f>
        <v>1.5154125690131122</v>
      </c>
      <c r="H42" s="11"/>
      <c r="I42" s="11">
        <f>SUM(I5:I41)</f>
        <v>736</v>
      </c>
      <c r="J42" s="11"/>
      <c r="K42" s="13"/>
      <c r="L42" s="15">
        <f>SUM(L5:L41)</f>
        <v>3680</v>
      </c>
    </row>
    <row r="43" spans="1:12" ht="13.5" thickBot="1">
      <c r="A43" s="24" t="s">
        <v>53</v>
      </c>
      <c r="B43" s="25"/>
      <c r="C43" s="26"/>
      <c r="D43" s="16">
        <f>SUMIF(A5:A42, "&lt;&gt;Summary", D5:D42)</f>
        <v>18616</v>
      </c>
      <c r="E43" s="17">
        <f>SUMIF(A5:A42, "&lt;&gt;Summary", E5:E42)</f>
        <v>100</v>
      </c>
      <c r="F43" s="18"/>
      <c r="G43" s="19">
        <f>SUMIF(A5:A42, "&lt;&gt;Summary", H5:H42)/L43</f>
        <v>1.5154125690131122</v>
      </c>
      <c r="H43" s="16"/>
      <c r="I43" s="16">
        <f>SUMIF(A5:A42, "&lt;&gt;Summary", I5:I42)</f>
        <v>736</v>
      </c>
      <c r="J43" s="16"/>
      <c r="K43" s="18"/>
      <c r="L43" s="20">
        <f>SUMIF(A5:A42, "&lt;&gt;Summary", L5:L42)</f>
        <v>3680</v>
      </c>
    </row>
    <row r="44" spans="1:12" ht="13.5" thickTop="1"/>
    <row r="45" spans="1:12">
      <c r="C45" s="36" t="s">
        <v>54</v>
      </c>
      <c r="D45" s="36">
        <f>SUM(H5:H14)/SUM(L5:L14)</f>
        <v>1.1414596273291926</v>
      </c>
    </row>
    <row r="46" spans="1:12">
      <c r="C46" s="36" t="s">
        <v>55</v>
      </c>
      <c r="D46" s="36">
        <f>SUM(H15:H24)/SUM(L15:L24)</f>
        <v>1.6566293183940246</v>
      </c>
    </row>
    <row r="47" spans="1:12">
      <c r="C47" s="36" t="s">
        <v>56</v>
      </c>
      <c r="D47" s="36">
        <f>SUM(H25:H34)/SUM(L25:L34)</f>
        <v>1.6133889337279166</v>
      </c>
    </row>
    <row r="48" spans="1:12">
      <c r="C48" s="36" t="s">
        <v>57</v>
      </c>
      <c r="D48" s="36">
        <f>SUM(H35:H41)/SUM(L35:L41)</f>
        <v>1.6486997635933807</v>
      </c>
    </row>
  </sheetData>
  <mergeCells count="7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9"/>
    <mergeCell ref="E7:E9"/>
    <mergeCell ref="G7:G9"/>
    <mergeCell ref="H7:H9"/>
    <mergeCell ref="I7:I9"/>
    <mergeCell ref="A5:A6"/>
    <mergeCell ref="E5:E6"/>
    <mergeCell ref="G5:G6"/>
    <mergeCell ref="H5:H6"/>
    <mergeCell ref="I5:I6"/>
    <mergeCell ref="A18:A22"/>
    <mergeCell ref="E18:E22"/>
    <mergeCell ref="G18:G22"/>
    <mergeCell ref="H18:H22"/>
    <mergeCell ref="I18:I22"/>
    <mergeCell ref="A11:A13"/>
    <mergeCell ref="E11:E13"/>
    <mergeCell ref="G11:G13"/>
    <mergeCell ref="H11:H13"/>
    <mergeCell ref="I11:I13"/>
    <mergeCell ref="A25:A26"/>
    <mergeCell ref="E25:E26"/>
    <mergeCell ref="G25:G26"/>
    <mergeCell ref="H25:H26"/>
    <mergeCell ref="I25:I26"/>
    <mergeCell ref="A23:A24"/>
    <mergeCell ref="E23:E24"/>
    <mergeCell ref="G23:G24"/>
    <mergeCell ref="H23:H24"/>
    <mergeCell ref="I23:I24"/>
    <mergeCell ref="A29:A30"/>
    <mergeCell ref="E29:E30"/>
    <mergeCell ref="G29:G30"/>
    <mergeCell ref="H29:H30"/>
    <mergeCell ref="I29:I30"/>
    <mergeCell ref="A27:A28"/>
    <mergeCell ref="E27:E28"/>
    <mergeCell ref="G27:G28"/>
    <mergeCell ref="H27:H28"/>
    <mergeCell ref="I27:I28"/>
    <mergeCell ref="A33:A34"/>
    <mergeCell ref="E33:E34"/>
    <mergeCell ref="G33:G34"/>
    <mergeCell ref="H33:H34"/>
    <mergeCell ref="I33:I34"/>
    <mergeCell ref="A31:A32"/>
    <mergeCell ref="E31:E32"/>
    <mergeCell ref="G31:G32"/>
    <mergeCell ref="H31:H32"/>
    <mergeCell ref="I31:I32"/>
    <mergeCell ref="H36:H37"/>
    <mergeCell ref="I36:I37"/>
    <mergeCell ref="A38:A39"/>
    <mergeCell ref="E38:E39"/>
    <mergeCell ref="G38:G39"/>
    <mergeCell ref="H38:H39"/>
    <mergeCell ref="I38:I39"/>
    <mergeCell ref="A42:C42"/>
    <mergeCell ref="A43:C43"/>
    <mergeCell ref="A36:A37"/>
    <mergeCell ref="E36:E37"/>
    <mergeCell ref="G36:G37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2026-07-27T01:05:28Z</dcterms:created>
  <dcterms:modified xsi:type="dcterms:W3CDTF">2026-07-27T01:07:52Z</dcterms:modified>
</cp:coreProperties>
</file>