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1" i="1"/>
  <c r="D50"/>
  <c r="D49"/>
  <c r="D48"/>
  <c r="I46"/>
  <c r="E46"/>
  <c r="D46"/>
  <c r="I45"/>
  <c r="E45"/>
  <c r="D45"/>
  <c r="L43"/>
  <c r="K44"/>
  <c r="F44"/>
  <c r="K43"/>
  <c r="F43"/>
  <c r="G43" s="1"/>
  <c r="H43" s="1"/>
  <c r="L42"/>
  <c r="K42"/>
  <c r="F42"/>
  <c r="G42" s="1"/>
  <c r="H42" s="1"/>
  <c r="L39"/>
  <c r="K41"/>
  <c r="F41"/>
  <c r="K40"/>
  <c r="F40"/>
  <c r="G39" s="1"/>
  <c r="H39" s="1"/>
  <c r="K39"/>
  <c r="F39"/>
  <c r="L38"/>
  <c r="H38"/>
  <c r="G38"/>
  <c r="K38"/>
  <c r="F38"/>
  <c r="L37"/>
  <c r="K37"/>
  <c r="F37"/>
  <c r="G37" s="1"/>
  <c r="H37" s="1"/>
  <c r="L35"/>
  <c r="K36"/>
  <c r="F36"/>
  <c r="K35"/>
  <c r="F35"/>
  <c r="G35" s="1"/>
  <c r="H35" s="1"/>
  <c r="L32"/>
  <c r="K34"/>
  <c r="F34"/>
  <c r="K33"/>
  <c r="F33"/>
  <c r="K32"/>
  <c r="F32"/>
  <c r="G32" s="1"/>
  <c r="H32" s="1"/>
  <c r="L31"/>
  <c r="K31"/>
  <c r="F31"/>
  <c r="G31" s="1"/>
  <c r="H31" s="1"/>
  <c r="L29"/>
  <c r="K30"/>
  <c r="F30"/>
  <c r="K29"/>
  <c r="F29"/>
  <c r="G29" s="1"/>
  <c r="H29" s="1"/>
  <c r="L27"/>
  <c r="K28"/>
  <c r="F28"/>
  <c r="K27"/>
  <c r="F27"/>
  <c r="G27" s="1"/>
  <c r="H27" s="1"/>
  <c r="L26"/>
  <c r="K26"/>
  <c r="F26"/>
  <c r="G26" s="1"/>
  <c r="H26" s="1"/>
  <c r="L19"/>
  <c r="K25"/>
  <c r="F25"/>
  <c r="K24"/>
  <c r="F24"/>
  <c r="K23"/>
  <c r="F23"/>
  <c r="K22"/>
  <c r="F22"/>
  <c r="K21"/>
  <c r="F21"/>
  <c r="K20"/>
  <c r="F20"/>
  <c r="K19"/>
  <c r="F19"/>
  <c r="G19" s="1"/>
  <c r="H19" s="1"/>
  <c r="L17"/>
  <c r="K18"/>
  <c r="F18"/>
  <c r="K17"/>
  <c r="F17"/>
  <c r="G17" s="1"/>
  <c r="H17" s="1"/>
  <c r="L16"/>
  <c r="G16"/>
  <c r="H16" s="1"/>
  <c r="K16"/>
  <c r="F16"/>
  <c r="L15"/>
  <c r="G15"/>
  <c r="H15" s="1"/>
  <c r="K15"/>
  <c r="F15"/>
  <c r="L12"/>
  <c r="K14"/>
  <c r="F14"/>
  <c r="K13"/>
  <c r="F13"/>
  <c r="K12"/>
  <c r="F12"/>
  <c r="G12" s="1"/>
  <c r="H12" s="1"/>
  <c r="L10"/>
  <c r="K11"/>
  <c r="F11"/>
  <c r="K10"/>
  <c r="F10"/>
  <c r="G10" s="1"/>
  <c r="H10" s="1"/>
  <c r="L9"/>
  <c r="K9"/>
  <c r="F9"/>
  <c r="G9" s="1"/>
  <c r="H9" s="1"/>
  <c r="L6"/>
  <c r="K8"/>
  <c r="F8"/>
  <c r="K7"/>
  <c r="F7"/>
  <c r="K6"/>
  <c r="F6"/>
  <c r="G6" s="1"/>
  <c r="H6" s="1"/>
  <c r="L5"/>
  <c r="L46" s="1"/>
  <c r="G46" s="1"/>
  <c r="G5"/>
  <c r="H5" s="1"/>
  <c r="K5"/>
  <c r="F5"/>
  <c r="L45" l="1"/>
  <c r="G45" s="1"/>
</calcChain>
</file>

<file path=xl/sharedStrings.xml><?xml version="1.0" encoding="utf-8"?>
<sst xmlns="http://schemas.openxmlformats.org/spreadsheetml/2006/main" count="79" uniqueCount="65">
  <si>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</si>
  <si>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</si>
  <si>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</si>
  <si>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</si>
  <si>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</si>
  <si>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</si>
  <si>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</si>
  <si>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</si>
  <si>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</si>
  <si>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</si>
  <si>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</si>
  <si>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</si>
  <si>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</si>
  <si>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</si>
  <si>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</si>
  <si>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</si>
  <si>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</si>
  <si>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</si>
  <si>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ST841_FA26</t>
  </si>
  <si>
    <t>6-04</t>
  </si>
  <si>
    <t>766362_HO26</t>
  </si>
  <si>
    <t>6-05</t>
  </si>
  <si>
    <t>CPW264TL38</t>
  </si>
  <si>
    <t>LPST840</t>
  </si>
  <si>
    <t>6-06</t>
  </si>
  <si>
    <t>777362_VMI</t>
  </si>
  <si>
    <t>6-07</t>
  </si>
  <si>
    <t>352E6Y_SL_C127</t>
  </si>
  <si>
    <t>6-08</t>
  </si>
  <si>
    <t>766362_V1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</si>
  <si>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</si>
  <si>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</si>
  <si>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</si>
  <si>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</si>
  <si>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</si>
  <si>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</si>
  <si>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</si>
  <si>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</si>
  <si>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</si>
  <si>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1182719_HO26</t>
  </si>
  <si>
    <t>6-11</t>
  </si>
  <si>
    <t>MRLPMM_3PC_C127</t>
  </si>
  <si>
    <t>6-12</t>
  </si>
  <si>
    <t>X25413_C426</t>
  </si>
  <si>
    <t>ZC6HY000</t>
  </si>
  <si>
    <t>6-13</t>
  </si>
  <si>
    <t>1182723_HO26</t>
  </si>
  <si>
    <t>6-14</t>
  </si>
  <si>
    <t>G9M018_C426</t>
  </si>
  <si>
    <t>00GG4Z_C127IND</t>
  </si>
  <si>
    <t>6-15</t>
  </si>
  <si>
    <t>6-16</t>
  </si>
  <si>
    <t>6-17</t>
  </si>
  <si>
    <t>6-18</t>
  </si>
  <si>
    <t>910047_HO26DIS</t>
  </si>
  <si>
    <t>6-19</t>
  </si>
  <si>
    <t>6-20</t>
  </si>
  <si>
    <t>CPM263PA05_26Q4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</si>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</sst>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>
      <pane ySplit="4" topLeftCell="A23" activePane="bottomLeft" state="frozen"/>
      <selection pane="bottomLeft" activeCell="C48" sqref="C48:D52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46258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3" t="s">
        <v>13</v>
      </c>
      <c r="B5" s="4" t="s">
        <v>14</v>
      </c>
      <c r="C5" s="5">
        <v>46228</v>
      </c>
      <c r="D5" s="36">
        <v>1504</v>
      </c>
      <c r="E5" s="37">
        <v>9</v>
      </c>
      <c r="F5" s="38">
        <f>IF(E5=0,0,D5/E5)</f>
        <v>167.11111111111111</v>
      </c>
      <c r="G5" s="8">
        <f>IF(E5=0,0,SUMPRODUCT(F5:F5,J5:J5)/(I5*2.52))</f>
        <v>1.3611807296017822</v>
      </c>
      <c r="H5" s="9">
        <f>G5*I5*E5</f>
        <v>465.52380952380952</v>
      </c>
      <c r="I5" s="9">
        <v>38</v>
      </c>
      <c r="J5" s="6">
        <v>0.78</v>
      </c>
      <c r="K5" s="7">
        <f>2.52/J5*I5</f>
        <v>122.76923076923077</v>
      </c>
      <c r="L5" s="10">
        <f>E5*I5</f>
        <v>342</v>
      </c>
    </row>
    <row r="6" spans="1:12">
      <c r="A6" s="24" t="s">
        <v>15</v>
      </c>
      <c r="B6" s="4" t="s">
        <v>16</v>
      </c>
      <c r="C6" s="5">
        <v>46176</v>
      </c>
      <c r="D6" s="36">
        <v>98</v>
      </c>
      <c r="E6" s="39">
        <v>9</v>
      </c>
      <c r="F6" s="38">
        <f>IF(E6=0,0,D6/E6)</f>
        <v>10.888888888888889</v>
      </c>
      <c r="G6" s="25">
        <f>IF(E6=0,0,SUMPRODUCT(F6:F8,J6:J8)/(I6*2.52))</f>
        <v>2.3144242882338122</v>
      </c>
      <c r="H6" s="26">
        <f>G6*I6*E6</f>
        <v>729.04365079365084</v>
      </c>
      <c r="I6" s="26">
        <v>35</v>
      </c>
      <c r="J6" s="6">
        <v>1.25</v>
      </c>
      <c r="K6" s="7">
        <f>2.52/J6*I6</f>
        <v>70.56</v>
      </c>
      <c r="L6" s="10">
        <f>E6*I6</f>
        <v>315</v>
      </c>
    </row>
    <row r="7" spans="1:12">
      <c r="A7" s="24"/>
      <c r="B7" s="4" t="s">
        <v>16</v>
      </c>
      <c r="C7" s="5">
        <v>46176</v>
      </c>
      <c r="D7" s="36">
        <v>1203</v>
      </c>
      <c r="E7" s="39"/>
      <c r="F7" s="38">
        <f>IF(E6=0,0,D7/E6)</f>
        <v>133.66666666666666</v>
      </c>
      <c r="G7" s="25"/>
      <c r="H7" s="26"/>
      <c r="I7" s="26"/>
      <c r="J7" s="6">
        <v>1.27</v>
      </c>
      <c r="K7" s="7">
        <f>2.52/J7*I6</f>
        <v>69.448818897637793</v>
      </c>
      <c r="L7" s="10"/>
    </row>
    <row r="8" spans="1:12">
      <c r="A8" s="24"/>
      <c r="B8" s="4" t="s">
        <v>16</v>
      </c>
      <c r="C8" s="5">
        <v>46176</v>
      </c>
      <c r="D8" s="36">
        <v>146</v>
      </c>
      <c r="E8" s="39"/>
      <c r="F8" s="38">
        <f>IF(E6=0,0,D8/E6)</f>
        <v>16.222222222222221</v>
      </c>
      <c r="G8" s="25"/>
      <c r="H8" s="26"/>
      <c r="I8" s="26"/>
      <c r="J8" s="6">
        <v>1.28</v>
      </c>
      <c r="K8" s="7">
        <f>2.52/J8*I6</f>
        <v>68.90625</v>
      </c>
      <c r="L8" s="10"/>
    </row>
    <row r="9" spans="1:12">
      <c r="A9" s="3" t="s">
        <v>17</v>
      </c>
      <c r="B9" s="4" t="s">
        <v>18</v>
      </c>
      <c r="C9" s="5">
        <v>46252</v>
      </c>
      <c r="D9" s="36">
        <v>430</v>
      </c>
      <c r="E9" s="37">
        <v>8</v>
      </c>
      <c r="F9" s="38">
        <f>IF(E9=0,0,D9/E9)</f>
        <v>53.75</v>
      </c>
      <c r="G9" s="8">
        <f>IF(E9=0,0,SUMPRODUCT(F9:F9,J9:J9)/(I9*2.52))</f>
        <v>1.0030566280566282</v>
      </c>
      <c r="H9" s="9">
        <f>G9*I9*E9</f>
        <v>296.90476190476193</v>
      </c>
      <c r="I9" s="9">
        <v>37</v>
      </c>
      <c r="J9" s="6">
        <v>1.74</v>
      </c>
      <c r="K9" s="7">
        <f>2.52/J9*I9</f>
        <v>53.586206896551722</v>
      </c>
      <c r="L9" s="10">
        <f>E9*I9</f>
        <v>296</v>
      </c>
    </row>
    <row r="10" spans="1:12">
      <c r="A10" s="24" t="s">
        <v>19</v>
      </c>
      <c r="B10" s="4" t="s">
        <v>20</v>
      </c>
      <c r="C10" s="5">
        <v>46203</v>
      </c>
      <c r="D10" s="36">
        <v>1575</v>
      </c>
      <c r="E10" s="39">
        <v>9</v>
      </c>
      <c r="F10" s="38">
        <f>IF(E10=0,0,D10/E10)</f>
        <v>175</v>
      </c>
      <c r="G10" s="25">
        <f>IF(E10=0,0,SUMPRODUCT(F10:F11,J10:J11)/(I10*2.52))</f>
        <v>1.7718718091525107</v>
      </c>
      <c r="H10" s="26">
        <f>G10*I10*E10</f>
        <v>605.98015873015868</v>
      </c>
      <c r="I10" s="26">
        <v>38</v>
      </c>
      <c r="J10" s="6">
        <v>0.85</v>
      </c>
      <c r="K10" s="7">
        <f>2.52/J10*I10</f>
        <v>112.65882352941176</v>
      </c>
      <c r="L10" s="10">
        <f>E10*I10</f>
        <v>342</v>
      </c>
    </row>
    <row r="11" spans="1:12">
      <c r="A11" s="24"/>
      <c r="B11" s="4" t="s">
        <v>20</v>
      </c>
      <c r="C11" s="5">
        <v>46203</v>
      </c>
      <c r="D11" s="36">
        <v>214</v>
      </c>
      <c r="E11" s="39"/>
      <c r="F11" s="38">
        <f>IF(E10=0,0,D11/E10)</f>
        <v>23.777777777777779</v>
      </c>
      <c r="G11" s="25"/>
      <c r="H11" s="26"/>
      <c r="I11" s="26"/>
      <c r="J11" s="6">
        <v>0.88</v>
      </c>
      <c r="K11" s="7">
        <f>2.52/J11*I10</f>
        <v>108.81818181818183</v>
      </c>
      <c r="L11" s="10"/>
    </row>
    <row r="12" spans="1:12">
      <c r="A12" s="24" t="s">
        <v>21</v>
      </c>
      <c r="B12" s="4" t="s">
        <v>22</v>
      </c>
      <c r="C12" s="5">
        <v>46232</v>
      </c>
      <c r="D12" s="36">
        <v>31</v>
      </c>
      <c r="E12" s="39">
        <v>8</v>
      </c>
      <c r="F12" s="38">
        <f>IF(E12=0,0,D12/E12)</f>
        <v>3.875</v>
      </c>
      <c r="G12" s="25">
        <f>IF(E12=0,0,SUMPRODUCT(F12:F14,J12:J14)/(I12*2.52))</f>
        <v>0.87090773809523803</v>
      </c>
      <c r="H12" s="26">
        <f>G12*I12*E12</f>
        <v>250.82142857142856</v>
      </c>
      <c r="I12" s="26">
        <v>36</v>
      </c>
      <c r="J12" s="6">
        <v>0.9</v>
      </c>
      <c r="K12" s="7">
        <f>2.52/J12*I12</f>
        <v>100.8</v>
      </c>
      <c r="L12" s="10">
        <f>E12*I12</f>
        <v>288</v>
      </c>
    </row>
    <row r="13" spans="1:12">
      <c r="A13" s="24"/>
      <c r="B13" s="4" t="s">
        <v>23</v>
      </c>
      <c r="C13" s="5">
        <v>46254</v>
      </c>
      <c r="D13" s="36">
        <v>411</v>
      </c>
      <c r="E13" s="39"/>
      <c r="F13" s="38">
        <f>IF(E12=0,0,D13/E12)</f>
        <v>51.375</v>
      </c>
      <c r="G13" s="25"/>
      <c r="H13" s="26"/>
      <c r="I13" s="26"/>
      <c r="J13" s="6">
        <v>1.47</v>
      </c>
      <c r="K13" s="7">
        <f>2.52/J13*I12</f>
        <v>61.714285714285722</v>
      </c>
      <c r="L13" s="10"/>
    </row>
    <row r="14" spans="1:12">
      <c r="A14" s="24"/>
      <c r="B14" s="4" t="s">
        <v>23</v>
      </c>
      <c r="C14" s="5">
        <v>46254</v>
      </c>
      <c r="D14" s="36">
        <v>0</v>
      </c>
      <c r="E14" s="39"/>
      <c r="F14" s="38">
        <f>IF(E12=0,0,D14/E12)</f>
        <v>0</v>
      </c>
      <c r="G14" s="25"/>
      <c r="H14" s="26"/>
      <c r="I14" s="26"/>
      <c r="J14" s="6">
        <v>1.51</v>
      </c>
      <c r="K14" s="7">
        <f>2.52/J14*I12</f>
        <v>60.079470198675502</v>
      </c>
      <c r="L14" s="10"/>
    </row>
    <row r="15" spans="1:12">
      <c r="A15" s="3" t="s">
        <v>24</v>
      </c>
      <c r="B15" s="4" t="s">
        <v>25</v>
      </c>
      <c r="C15" s="5">
        <v>46122</v>
      </c>
      <c r="D15" s="36">
        <v>1737</v>
      </c>
      <c r="E15" s="37">
        <v>9</v>
      </c>
      <c r="F15" s="38">
        <f>IF(E15=0,0,D15/E15)</f>
        <v>193</v>
      </c>
      <c r="G15" s="8">
        <f>IF(E15=0,0,SUMPRODUCT(F15:F15,J15:J15)/(I15*2.52))</f>
        <v>2.2337962962962963</v>
      </c>
      <c r="H15" s="9">
        <f>G15*I15*E15</f>
        <v>723.75</v>
      </c>
      <c r="I15" s="9">
        <v>36</v>
      </c>
      <c r="J15" s="6">
        <v>1.05</v>
      </c>
      <c r="K15" s="7">
        <f>2.52/J15*I15</f>
        <v>86.399999999999991</v>
      </c>
      <c r="L15" s="10">
        <f>E15*I15</f>
        <v>324</v>
      </c>
    </row>
    <row r="16" spans="1:12">
      <c r="A16" s="3" t="s">
        <v>26</v>
      </c>
      <c r="B16" s="4" t="s">
        <v>27</v>
      </c>
      <c r="C16" s="5">
        <v>46255</v>
      </c>
      <c r="D16" s="36">
        <v>807</v>
      </c>
      <c r="E16" s="37">
        <v>8</v>
      </c>
      <c r="F16" s="38">
        <f>IF(E16=0,0,D16/E16)</f>
        <v>100.875</v>
      </c>
      <c r="G16" s="8">
        <f>IF(E16=0,0,SUMPRODUCT(F16:F16,J16:J16)/(I16*2.52))</f>
        <v>0.82346938775510192</v>
      </c>
      <c r="H16" s="9">
        <f>G16*I16*E16</f>
        <v>230.57142857142853</v>
      </c>
      <c r="I16" s="9">
        <v>35</v>
      </c>
      <c r="J16" s="6">
        <v>0.72</v>
      </c>
      <c r="K16" s="7">
        <f>2.52/J16*I16</f>
        <v>122.5</v>
      </c>
      <c r="L16" s="10">
        <f>E16*I16</f>
        <v>280</v>
      </c>
    </row>
    <row r="17" spans="1:12">
      <c r="A17" s="24" t="s">
        <v>28</v>
      </c>
      <c r="B17" s="4" t="s">
        <v>29</v>
      </c>
      <c r="C17" s="5">
        <v>46179</v>
      </c>
      <c r="D17" s="36">
        <v>1742</v>
      </c>
      <c r="E17" s="39">
        <v>9</v>
      </c>
      <c r="F17" s="38">
        <f>IF(E17=0,0,D17/E17)</f>
        <v>193.55555555555554</v>
      </c>
      <c r="G17" s="25">
        <f>IF(E17=0,0,SUMPRODUCT(F17:F18,J17:J18)/(I17*2.52))</f>
        <v>1.7211315325350409</v>
      </c>
      <c r="H17" s="26">
        <f>G17*I17*E17</f>
        <v>588.62698412698398</v>
      </c>
      <c r="I17" s="26">
        <v>38</v>
      </c>
      <c r="J17" s="6">
        <v>0.85</v>
      </c>
      <c r="K17" s="7">
        <f>2.52/J17*I17</f>
        <v>112.65882352941176</v>
      </c>
      <c r="L17" s="10">
        <f>E17*I17</f>
        <v>342</v>
      </c>
    </row>
    <row r="18" spans="1:12">
      <c r="A18" s="24"/>
      <c r="B18" s="4" t="s">
        <v>29</v>
      </c>
      <c r="C18" s="5">
        <v>46179</v>
      </c>
      <c r="D18" s="36">
        <v>3</v>
      </c>
      <c r="E18" s="39"/>
      <c r="F18" s="38">
        <f>IF(E17=0,0,D18/E17)</f>
        <v>0.33333333333333331</v>
      </c>
      <c r="G18" s="25"/>
      <c r="H18" s="26"/>
      <c r="I18" s="26"/>
      <c r="J18" s="6">
        <v>0.88</v>
      </c>
      <c r="K18" s="7">
        <f>2.52/J18*I17</f>
        <v>108.81818181818183</v>
      </c>
      <c r="L18" s="10"/>
    </row>
    <row r="19" spans="1:12">
      <c r="A19" s="24" t="s">
        <v>30</v>
      </c>
      <c r="B19" s="6" t="s">
        <v>31</v>
      </c>
      <c r="C19" s="5">
        <v>46206</v>
      </c>
      <c r="D19" s="36">
        <v>347</v>
      </c>
      <c r="E19" s="39">
        <v>9</v>
      </c>
      <c r="F19" s="38">
        <f>IF(E19=0,0,D19/E19)</f>
        <v>38.555555555555557</v>
      </c>
      <c r="G19" s="25">
        <f>IF(E19=0,0,SUMPRODUCT(F19:F25,J19:J25)/(I19*2.52))</f>
        <v>2.891617808284475</v>
      </c>
      <c r="H19" s="26">
        <f>G19*I19*E19</f>
        <v>962.90873015873012</v>
      </c>
      <c r="I19" s="26">
        <v>37</v>
      </c>
      <c r="J19" s="6">
        <v>0.2</v>
      </c>
      <c r="K19" s="7">
        <f>2.52/J19*I19</f>
        <v>466.2</v>
      </c>
      <c r="L19" s="10">
        <f>E19*I19</f>
        <v>333</v>
      </c>
    </row>
    <row r="20" spans="1:12">
      <c r="A20" s="24"/>
      <c r="B20" s="6" t="s">
        <v>32</v>
      </c>
      <c r="C20" s="5">
        <v>46206</v>
      </c>
      <c r="D20" s="36">
        <v>63</v>
      </c>
      <c r="E20" s="39"/>
      <c r="F20" s="38">
        <f>IF(E19=0,0,D20/E19)</f>
        <v>7</v>
      </c>
      <c r="G20" s="25"/>
      <c r="H20" s="26"/>
      <c r="I20" s="26"/>
      <c r="J20" s="6">
        <v>0.2</v>
      </c>
      <c r="K20" s="7">
        <f>2.52/J20*I19</f>
        <v>466.2</v>
      </c>
      <c r="L20" s="10"/>
    </row>
    <row r="21" spans="1:12">
      <c r="A21" s="24"/>
      <c r="B21" s="6" t="s">
        <v>33</v>
      </c>
      <c r="C21" s="5">
        <v>46206</v>
      </c>
      <c r="D21" s="36">
        <v>370</v>
      </c>
      <c r="E21" s="39"/>
      <c r="F21" s="38">
        <f>IF(E19=0,0,D21/E19)</f>
        <v>41.111111111111114</v>
      </c>
      <c r="G21" s="25"/>
      <c r="H21" s="26"/>
      <c r="I21" s="26"/>
      <c r="J21" s="6">
        <v>0.2</v>
      </c>
      <c r="K21" s="7">
        <f>2.52/J21*I19</f>
        <v>466.2</v>
      </c>
      <c r="L21" s="10"/>
    </row>
    <row r="22" spans="1:12">
      <c r="A22" s="24"/>
      <c r="B22" s="6" t="s">
        <v>34</v>
      </c>
      <c r="C22" s="5">
        <v>46206</v>
      </c>
      <c r="D22" s="36">
        <v>2519</v>
      </c>
      <c r="E22" s="39"/>
      <c r="F22" s="38">
        <f>IF(E19=0,0,D22/E19)</f>
        <v>279.88888888888891</v>
      </c>
      <c r="G22" s="25"/>
      <c r="H22" s="26"/>
      <c r="I22" s="26"/>
      <c r="J22" s="6">
        <v>0.2</v>
      </c>
      <c r="K22" s="7">
        <f>2.52/J22*I19</f>
        <v>466.2</v>
      </c>
      <c r="L22" s="10"/>
    </row>
    <row r="23" spans="1:12">
      <c r="A23" s="24"/>
      <c r="B23" s="6" t="s">
        <v>35</v>
      </c>
      <c r="C23" s="5">
        <v>46206</v>
      </c>
      <c r="D23" s="36">
        <v>4871</v>
      </c>
      <c r="E23" s="39"/>
      <c r="F23" s="38">
        <f>IF(E19=0,0,D23/E19)</f>
        <v>541.22222222222217</v>
      </c>
      <c r="G23" s="25"/>
      <c r="H23" s="26"/>
      <c r="I23" s="26"/>
      <c r="J23" s="6">
        <v>0.21</v>
      </c>
      <c r="K23" s="7">
        <f>2.52/J23*I19</f>
        <v>444</v>
      </c>
      <c r="L23" s="10"/>
    </row>
    <row r="24" spans="1:12">
      <c r="A24" s="24"/>
      <c r="B24" s="6" t="s">
        <v>36</v>
      </c>
      <c r="C24" s="5">
        <v>46206</v>
      </c>
      <c r="D24" s="36">
        <v>176</v>
      </c>
      <c r="E24" s="39"/>
      <c r="F24" s="38">
        <f>IF(E19=0,0,D24/E19)</f>
        <v>19.555555555555557</v>
      </c>
      <c r="G24" s="25"/>
      <c r="H24" s="26"/>
      <c r="I24" s="26"/>
      <c r="J24" s="6">
        <v>0.21</v>
      </c>
      <c r="K24" s="7">
        <f>2.52/J24*I19</f>
        <v>444</v>
      </c>
      <c r="L24" s="10"/>
    </row>
    <row r="25" spans="1:12">
      <c r="A25" s="24"/>
      <c r="B25" s="6" t="s">
        <v>37</v>
      </c>
      <c r="C25" s="5">
        <v>46206</v>
      </c>
      <c r="D25" s="36">
        <v>3366</v>
      </c>
      <c r="E25" s="39"/>
      <c r="F25" s="38">
        <f>IF(E19=0,0,D25/E19)</f>
        <v>374</v>
      </c>
      <c r="G25" s="25"/>
      <c r="H25" s="26"/>
      <c r="I25" s="26"/>
      <c r="J25" s="6">
        <v>0.21</v>
      </c>
      <c r="K25" s="7">
        <f>2.52/J25*I19</f>
        <v>444</v>
      </c>
      <c r="L25" s="10"/>
    </row>
    <row r="26" spans="1:12">
      <c r="A26" s="3" t="s">
        <v>38</v>
      </c>
      <c r="B26" s="4" t="s">
        <v>39</v>
      </c>
      <c r="C26" s="5">
        <v>46238</v>
      </c>
      <c r="D26" s="36">
        <v>2006</v>
      </c>
      <c r="E26" s="37">
        <v>8</v>
      </c>
      <c r="F26" s="38">
        <f>IF(E26=0,0,D26/E26)</f>
        <v>250.75</v>
      </c>
      <c r="G26" s="8">
        <f>IF(E26=0,0,SUMPRODUCT(F26:F26,J26:J26)/(I26*2.52))</f>
        <v>1.5866848991848992</v>
      </c>
      <c r="H26" s="9">
        <f>G26*I26*E26</f>
        <v>469.65873015873018</v>
      </c>
      <c r="I26" s="9">
        <v>37</v>
      </c>
      <c r="J26" s="6">
        <v>0.59</v>
      </c>
      <c r="K26" s="7">
        <f>2.52/J26*I26</f>
        <v>158.03389830508476</v>
      </c>
      <c r="L26" s="10">
        <f>E26*I26</f>
        <v>296</v>
      </c>
    </row>
    <row r="27" spans="1:12">
      <c r="A27" s="24" t="s">
        <v>40</v>
      </c>
      <c r="B27" s="4" t="s">
        <v>39</v>
      </c>
      <c r="C27" s="5">
        <v>46238</v>
      </c>
      <c r="D27" s="36">
        <v>785</v>
      </c>
      <c r="E27" s="39">
        <v>8</v>
      </c>
      <c r="F27" s="38">
        <f>IF(E27=0,0,D27/E27)</f>
        <v>98.125</v>
      </c>
      <c r="G27" s="25">
        <f>IF(E27=0,0,SUMPRODUCT(F27:F28,J27:J28)/(I27*2.52))</f>
        <v>0.76579034391534395</v>
      </c>
      <c r="H27" s="26">
        <f>G27*I27*E27</f>
        <v>183.78968253968256</v>
      </c>
      <c r="I27" s="26">
        <v>30</v>
      </c>
      <c r="J27" s="6">
        <v>0.59</v>
      </c>
      <c r="K27" s="7">
        <f>2.52/J27*I27</f>
        <v>128.13559322033899</v>
      </c>
      <c r="L27" s="10">
        <f>E27*I27</f>
        <v>240</v>
      </c>
    </row>
    <row r="28" spans="1:12">
      <c r="A28" s="24"/>
      <c r="B28" s="4" t="s">
        <v>41</v>
      </c>
      <c r="C28" s="5">
        <v>46258</v>
      </c>
      <c r="D28" s="36">
        <v>0</v>
      </c>
      <c r="E28" s="39"/>
      <c r="F28" s="38">
        <f>IF(E27=0,0,D28/E27)</f>
        <v>0</v>
      </c>
      <c r="G28" s="25"/>
      <c r="H28" s="26"/>
      <c r="I28" s="26"/>
      <c r="J28" s="6">
        <v>1.04</v>
      </c>
      <c r="K28" s="7">
        <f>2.52/J28*I27</f>
        <v>72.692307692307693</v>
      </c>
      <c r="L28" s="10"/>
    </row>
    <row r="29" spans="1:12">
      <c r="A29" s="24" t="s">
        <v>42</v>
      </c>
      <c r="B29" s="4" t="s">
        <v>43</v>
      </c>
      <c r="C29" s="5">
        <v>46246</v>
      </c>
      <c r="D29" s="36">
        <v>437</v>
      </c>
      <c r="E29" s="39">
        <v>8</v>
      </c>
      <c r="F29" s="38">
        <f>IF(E29=0,0,D29/E29)</f>
        <v>54.625</v>
      </c>
      <c r="G29" s="25">
        <f>IF(E29=0,0,SUMPRODUCT(F29:F30,J29:J30)/(I29*2.52))</f>
        <v>1.2419532627865961</v>
      </c>
      <c r="H29" s="26">
        <f>G29*I29*E29</f>
        <v>357.6825396825397</v>
      </c>
      <c r="I29" s="26">
        <v>36</v>
      </c>
      <c r="J29" s="6">
        <v>1.46</v>
      </c>
      <c r="K29" s="7">
        <f>2.52/J29*I29</f>
        <v>62.136986301369866</v>
      </c>
      <c r="L29" s="10">
        <f>E29*I29</f>
        <v>288</v>
      </c>
    </row>
    <row r="30" spans="1:12">
      <c r="A30" s="24"/>
      <c r="B30" s="4" t="s">
        <v>44</v>
      </c>
      <c r="C30" s="5">
        <v>46255</v>
      </c>
      <c r="D30" s="36">
        <v>399</v>
      </c>
      <c r="E30" s="39"/>
      <c r="F30" s="38">
        <f>IF(E29=0,0,D30/E29)</f>
        <v>49.875</v>
      </c>
      <c r="G30" s="25"/>
      <c r="H30" s="26"/>
      <c r="I30" s="26"/>
      <c r="J30" s="6">
        <v>0.66</v>
      </c>
      <c r="K30" s="7">
        <f>2.52/J30*I29</f>
        <v>137.45454545454544</v>
      </c>
      <c r="L30" s="10"/>
    </row>
    <row r="31" spans="1:12">
      <c r="A31" s="3" t="s">
        <v>45</v>
      </c>
      <c r="B31" s="4" t="s">
        <v>46</v>
      </c>
      <c r="C31" s="5">
        <v>46227</v>
      </c>
      <c r="D31" s="36">
        <v>1515</v>
      </c>
      <c r="E31" s="37">
        <v>9</v>
      </c>
      <c r="F31" s="38">
        <f>IF(E31=0,0,D31/E31)</f>
        <v>168.33333333333334</v>
      </c>
      <c r="G31" s="8">
        <f>IF(E31=0,0,SUMPRODUCT(F31:F31,J31:J31)/(I31*2.52))</f>
        <v>1.6699735449735449</v>
      </c>
      <c r="H31" s="9">
        <f>G31*I31*E31</f>
        <v>541.07142857142856</v>
      </c>
      <c r="I31" s="9">
        <v>36</v>
      </c>
      <c r="J31" s="6">
        <v>0.9</v>
      </c>
      <c r="K31" s="7">
        <f>2.52/J31*I31</f>
        <v>100.8</v>
      </c>
      <c r="L31" s="10">
        <f>E31*I31</f>
        <v>324</v>
      </c>
    </row>
    <row r="32" spans="1:12">
      <c r="A32" s="24" t="s">
        <v>47</v>
      </c>
      <c r="B32" s="4" t="s">
        <v>48</v>
      </c>
      <c r="C32" s="5">
        <v>46202</v>
      </c>
      <c r="D32" s="36">
        <v>241</v>
      </c>
      <c r="E32" s="39">
        <v>9</v>
      </c>
      <c r="F32" s="38">
        <f>IF(E32=0,0,D32/E32)</f>
        <v>26.777777777777779</v>
      </c>
      <c r="G32" s="25">
        <f>IF(E32=0,0,SUMPRODUCT(F32:F34,J32:J34)/(I32*2.52))</f>
        <v>0.70995212899974802</v>
      </c>
      <c r="H32" s="26">
        <f>G32*I32*E32</f>
        <v>223.63492063492063</v>
      </c>
      <c r="I32" s="26">
        <v>35</v>
      </c>
      <c r="J32" s="6">
        <v>0.81</v>
      </c>
      <c r="K32" s="7">
        <f>2.52/J32*I32</f>
        <v>108.88888888888887</v>
      </c>
      <c r="L32" s="10">
        <f>E32*I32</f>
        <v>315</v>
      </c>
    </row>
    <row r="33" spans="1:12">
      <c r="A33" s="24"/>
      <c r="B33" s="4" t="s">
        <v>48</v>
      </c>
      <c r="C33" s="5">
        <v>46202</v>
      </c>
      <c r="D33" s="36">
        <v>409</v>
      </c>
      <c r="E33" s="39"/>
      <c r="F33" s="38">
        <f>IF(E32=0,0,D33/E32)</f>
        <v>45.444444444444443</v>
      </c>
      <c r="G33" s="25"/>
      <c r="H33" s="26"/>
      <c r="I33" s="26"/>
      <c r="J33" s="6">
        <v>0.86</v>
      </c>
      <c r="K33" s="7">
        <f>2.52/J33*I32</f>
        <v>102.55813953488372</v>
      </c>
      <c r="L33" s="10"/>
    </row>
    <row r="34" spans="1:12">
      <c r="A34" s="24"/>
      <c r="B34" s="4" t="s">
        <v>49</v>
      </c>
      <c r="C34" s="5">
        <v>46246</v>
      </c>
      <c r="D34" s="36">
        <v>11</v>
      </c>
      <c r="E34" s="39"/>
      <c r="F34" s="38">
        <f>IF(E32=0,0,D34/E32)</f>
        <v>1.2222222222222223</v>
      </c>
      <c r="G34" s="25"/>
      <c r="H34" s="26"/>
      <c r="I34" s="26"/>
      <c r="J34" s="6">
        <v>1.51</v>
      </c>
      <c r="K34" s="7">
        <f>2.52/J34*I32</f>
        <v>58.410596026490069</v>
      </c>
      <c r="L34" s="10"/>
    </row>
    <row r="35" spans="1:12">
      <c r="A35" s="24" t="s">
        <v>50</v>
      </c>
      <c r="B35" s="4" t="s">
        <v>23</v>
      </c>
      <c r="C35" s="5">
        <v>46253</v>
      </c>
      <c r="D35" s="36">
        <v>403</v>
      </c>
      <c r="E35" s="39">
        <v>8</v>
      </c>
      <c r="F35" s="38">
        <f>IF(E35=0,0,D35/E35)</f>
        <v>50.375</v>
      </c>
      <c r="G35" s="25">
        <f>IF(E35=0,0,SUMPRODUCT(F35:F36,J35:J36)/(I35*2.52))</f>
        <v>0.89353592314118624</v>
      </c>
      <c r="H35" s="26">
        <f>G35*I35*E35</f>
        <v>271.6349206349206</v>
      </c>
      <c r="I35" s="26">
        <v>38</v>
      </c>
      <c r="J35" s="6">
        <v>1.47</v>
      </c>
      <c r="K35" s="7">
        <f>2.52/J35*I35</f>
        <v>65.142857142857153</v>
      </c>
      <c r="L35" s="10">
        <f>E35*I35</f>
        <v>304</v>
      </c>
    </row>
    <row r="36" spans="1:12">
      <c r="A36" s="24"/>
      <c r="B36" s="4" t="s">
        <v>23</v>
      </c>
      <c r="C36" s="5">
        <v>46253</v>
      </c>
      <c r="D36" s="36">
        <v>61</v>
      </c>
      <c r="E36" s="39"/>
      <c r="F36" s="38">
        <f>IF(E35=0,0,D36/E35)</f>
        <v>7.625</v>
      </c>
      <c r="G36" s="25"/>
      <c r="H36" s="26"/>
      <c r="I36" s="26"/>
      <c r="J36" s="6">
        <v>1.51</v>
      </c>
      <c r="K36" s="7">
        <f>2.52/J36*I35</f>
        <v>63.41721854304636</v>
      </c>
      <c r="L36" s="10"/>
    </row>
    <row r="37" spans="1:12">
      <c r="A37" s="3" t="s">
        <v>51</v>
      </c>
      <c r="B37" s="4" t="s">
        <v>25</v>
      </c>
      <c r="C37" s="5">
        <v>46122</v>
      </c>
      <c r="D37" s="36">
        <v>1628</v>
      </c>
      <c r="E37" s="37">
        <v>9</v>
      </c>
      <c r="F37" s="38">
        <f>IF(E37=0,0,D37/E37)</f>
        <v>180.88888888888889</v>
      </c>
      <c r="G37" s="8">
        <f>IF(E37=0,0,SUMPRODUCT(F37:F37,J37:J37)/(I37*2.52))</f>
        <v>1.9325735992402659</v>
      </c>
      <c r="H37" s="9">
        <f>G37*I37*E37</f>
        <v>678.33333333333326</v>
      </c>
      <c r="I37" s="9">
        <v>39</v>
      </c>
      <c r="J37" s="6">
        <v>1.05</v>
      </c>
      <c r="K37" s="7">
        <f>2.52/J37*I37</f>
        <v>93.6</v>
      </c>
      <c r="L37" s="10">
        <f>E37*I37</f>
        <v>351</v>
      </c>
    </row>
    <row r="38" spans="1:12">
      <c r="A38" s="3" t="s">
        <v>52</v>
      </c>
      <c r="B38" s="4" t="s">
        <v>14</v>
      </c>
      <c r="C38" s="5">
        <v>46244</v>
      </c>
      <c r="D38" s="36">
        <v>1436</v>
      </c>
      <c r="E38" s="37">
        <v>9</v>
      </c>
      <c r="F38" s="38">
        <f>IF(E38=0,0,D38/E38)</f>
        <v>159.55555555555554</v>
      </c>
      <c r="G38" s="8">
        <f>IF(E38=0,0,SUMPRODUCT(F38:F38,J38:J38)/(I38*2.52))</f>
        <v>1.2996379838485101</v>
      </c>
      <c r="H38" s="9">
        <f>G38*I38*E38</f>
        <v>444.47619047619048</v>
      </c>
      <c r="I38" s="9">
        <v>38</v>
      </c>
      <c r="J38" s="6">
        <v>0.78</v>
      </c>
      <c r="K38" s="7">
        <f>2.52/J38*I38</f>
        <v>122.76923076923077</v>
      </c>
      <c r="L38" s="10">
        <f>E38*I38</f>
        <v>342</v>
      </c>
    </row>
    <row r="39" spans="1:12">
      <c r="A39" s="24" t="s">
        <v>53</v>
      </c>
      <c r="B39" s="4" t="s">
        <v>25</v>
      </c>
      <c r="C39" s="5">
        <v>46119</v>
      </c>
      <c r="D39" s="36">
        <v>19</v>
      </c>
      <c r="E39" s="39">
        <v>9</v>
      </c>
      <c r="F39" s="38">
        <f>IF(E39=0,0,D39/E39)</f>
        <v>2.1111111111111112</v>
      </c>
      <c r="G39" s="25">
        <f>IF(E39=0,0,SUMPRODUCT(F39:F41,J39:J41)/(I39*2.52))</f>
        <v>2.2765026931693599</v>
      </c>
      <c r="H39" s="26">
        <f>G39*I39*E39</f>
        <v>758.07539682539687</v>
      </c>
      <c r="I39" s="26">
        <v>37</v>
      </c>
      <c r="J39" s="6">
        <v>1.05</v>
      </c>
      <c r="K39" s="7">
        <f>2.52/J39*I39</f>
        <v>88.8</v>
      </c>
      <c r="L39" s="10">
        <f>E39*I39</f>
        <v>333</v>
      </c>
    </row>
    <row r="40" spans="1:12">
      <c r="A40" s="24"/>
      <c r="B40" s="4" t="s">
        <v>54</v>
      </c>
      <c r="C40" s="5">
        <v>46210</v>
      </c>
      <c r="D40" s="36">
        <v>1360</v>
      </c>
      <c r="E40" s="39"/>
      <c r="F40" s="38">
        <f>IF(E39=0,0,D40/E39)</f>
        <v>151.11111111111111</v>
      </c>
      <c r="G40" s="25"/>
      <c r="H40" s="26"/>
      <c r="I40" s="26"/>
      <c r="J40" s="6">
        <v>1.39</v>
      </c>
      <c r="K40" s="7">
        <f>2.52/J40*I39</f>
        <v>67.079136690647488</v>
      </c>
      <c r="L40" s="10"/>
    </row>
    <row r="41" spans="1:12">
      <c r="A41" s="24"/>
      <c r="B41" s="4" t="s">
        <v>54</v>
      </c>
      <c r="C41" s="5">
        <v>46210</v>
      </c>
      <c r="D41" s="36">
        <v>0</v>
      </c>
      <c r="E41" s="39"/>
      <c r="F41" s="38">
        <f>IF(E39=0,0,D41/E39)</f>
        <v>0</v>
      </c>
      <c r="G41" s="25"/>
      <c r="H41" s="26"/>
      <c r="I41" s="26"/>
      <c r="J41" s="6">
        <v>1.52</v>
      </c>
      <c r="K41" s="7">
        <f>2.52/J41*I39</f>
        <v>61.342105263157897</v>
      </c>
      <c r="L41" s="10"/>
    </row>
    <row r="42" spans="1:12">
      <c r="A42" s="3" t="s">
        <v>55</v>
      </c>
      <c r="B42" s="4" t="s">
        <v>46</v>
      </c>
      <c r="C42" s="5">
        <v>46227</v>
      </c>
      <c r="D42" s="36">
        <v>1800</v>
      </c>
      <c r="E42" s="37">
        <v>9</v>
      </c>
      <c r="F42" s="38">
        <f>IF(E42=0,0,D42/E42)</f>
        <v>200</v>
      </c>
      <c r="G42" s="8">
        <f>IF(E42=0,0,SUMPRODUCT(F42:F42,J42:J42)/(I42*2.52))</f>
        <v>1.8796992481203008</v>
      </c>
      <c r="H42" s="9">
        <f>G42*I42*E42</f>
        <v>642.85714285714289</v>
      </c>
      <c r="I42" s="9">
        <v>38</v>
      </c>
      <c r="J42" s="6">
        <v>0.9</v>
      </c>
      <c r="K42" s="7">
        <f>2.52/J42*I42</f>
        <v>106.39999999999999</v>
      </c>
      <c r="L42" s="10">
        <f>E42*I42</f>
        <v>342</v>
      </c>
    </row>
    <row r="43" spans="1:12">
      <c r="A43" s="24" t="s">
        <v>56</v>
      </c>
      <c r="B43" s="4" t="s">
        <v>57</v>
      </c>
      <c r="C43" s="5">
        <v>46221</v>
      </c>
      <c r="D43" s="36">
        <v>56</v>
      </c>
      <c r="E43" s="39">
        <v>8</v>
      </c>
      <c r="F43" s="38">
        <f>IF(E43=0,0,D43/E43)</f>
        <v>7</v>
      </c>
      <c r="G43" s="25">
        <f>IF(E43=0,0,SUMPRODUCT(F43:F44,J43:J44)/(I43*2.52))</f>
        <v>0.78632054673721352</v>
      </c>
      <c r="H43" s="26">
        <f>G43*I43*E43</f>
        <v>226.4603174603175</v>
      </c>
      <c r="I43" s="26">
        <v>36</v>
      </c>
      <c r="J43" s="6">
        <v>1.21</v>
      </c>
      <c r="K43" s="7">
        <f>2.52/J43*I43</f>
        <v>74.975206611570258</v>
      </c>
      <c r="L43" s="10">
        <f>E43*I43</f>
        <v>288</v>
      </c>
    </row>
    <row r="44" spans="1:12">
      <c r="A44" s="24"/>
      <c r="B44" s="4" t="s">
        <v>58</v>
      </c>
      <c r="C44" s="5">
        <v>46255</v>
      </c>
      <c r="D44" s="36">
        <v>396</v>
      </c>
      <c r="E44" s="39"/>
      <c r="F44" s="38">
        <f>IF(E43=0,0,D44/E43)</f>
        <v>49.5</v>
      </c>
      <c r="G44" s="25"/>
      <c r="H44" s="26"/>
      <c r="I44" s="26"/>
      <c r="J44" s="6">
        <v>1.27</v>
      </c>
      <c r="K44" s="7">
        <f>2.52/J44*I43</f>
        <v>71.433070866141733</v>
      </c>
      <c r="L44" s="10"/>
    </row>
    <row r="45" spans="1:12">
      <c r="A45" s="27" t="s">
        <v>59</v>
      </c>
      <c r="B45" s="28"/>
      <c r="C45" s="29"/>
      <c r="D45" s="11">
        <f>SUM(D5:D44)</f>
        <v>34575</v>
      </c>
      <c r="E45" s="12">
        <f>SUM(E5:E44)</f>
        <v>172</v>
      </c>
      <c r="F45" s="13"/>
      <c r="G45" s="14">
        <f>SUM(H5:H44)/L45</f>
        <v>1.535689030319102</v>
      </c>
      <c r="H45" s="11"/>
      <c r="I45" s="11">
        <f>SUM(I5:I44)</f>
        <v>730</v>
      </c>
      <c r="J45" s="11"/>
      <c r="K45" s="13"/>
      <c r="L45" s="15">
        <f>SUM(L5:L44)</f>
        <v>6285</v>
      </c>
    </row>
    <row r="46" spans="1:12" ht="13.5" thickBot="1">
      <c r="A46" s="21" t="s">
        <v>60</v>
      </c>
      <c r="B46" s="22"/>
      <c r="C46" s="23"/>
      <c r="D46" s="16">
        <f>SUMIF(A5:A45, "&lt;&gt;Summary", D5:D45)</f>
        <v>34575</v>
      </c>
      <c r="E46" s="17">
        <f>SUMIF(A5:A45, "&lt;&gt;Summary", E5:E45)</f>
        <v>172</v>
      </c>
      <c r="F46" s="18"/>
      <c r="G46" s="19">
        <f>SUMIF(A5:A45, "&lt;&gt;Summary", H5:H45)/L46</f>
        <v>1.535689030319102</v>
      </c>
      <c r="H46" s="16"/>
      <c r="I46" s="16">
        <f>SUMIF(A5:A45, "&lt;&gt;Summary", I5:I45)</f>
        <v>730</v>
      </c>
      <c r="J46" s="16"/>
      <c r="K46" s="18"/>
      <c r="L46" s="20">
        <f>SUMIF(A5:A45, "&lt;&gt;Summary", L5:L45)</f>
        <v>6285</v>
      </c>
    </row>
    <row r="47" spans="1:12" ht="13.5" thickTop="1"/>
    <row r="48" spans="1:12">
      <c r="C48" s="40" t="s">
        <v>61</v>
      </c>
      <c r="D48" s="40">
        <f>SUM(H5:H14)/SUM(L5:L14)</f>
        <v>1.4834326023523747</v>
      </c>
    </row>
    <row r="49" spans="3:4">
      <c r="C49" s="40" t="s">
        <v>62</v>
      </c>
      <c r="D49" s="40">
        <f>SUM(H15:H26)/SUM(L15:L26)</f>
        <v>1.8892164273116652</v>
      </c>
    </row>
    <row r="50" spans="3:4">
      <c r="C50" s="40" t="s">
        <v>63</v>
      </c>
      <c r="D50" s="40">
        <f>SUM(H27:H36)/SUM(L27:L36)</f>
        <v>1.0726128430071327</v>
      </c>
    </row>
    <row r="51" spans="3:4">
      <c r="C51" s="40" t="s">
        <v>64</v>
      </c>
      <c r="D51" s="40">
        <f>SUM(H37:H44)/SUM(L37:L44)</f>
        <v>1.6607502300437085</v>
      </c>
    </row>
    <row r="52" spans="3:4">
      <c r="C52" s="40"/>
      <c r="D52" s="40"/>
    </row>
  </sheetData>
  <mergeCells count="6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0:A11"/>
    <mergeCell ref="E10:E11"/>
    <mergeCell ref="G10:G11"/>
    <mergeCell ref="H10:H11"/>
    <mergeCell ref="I10:I11"/>
    <mergeCell ref="A6:A8"/>
    <mergeCell ref="E6:E8"/>
    <mergeCell ref="G6:G8"/>
    <mergeCell ref="H6:H8"/>
    <mergeCell ref="I6:I8"/>
    <mergeCell ref="A17:A18"/>
    <mergeCell ref="E17:E18"/>
    <mergeCell ref="G17:G18"/>
    <mergeCell ref="H17:H18"/>
    <mergeCell ref="I17:I18"/>
    <mergeCell ref="A12:A14"/>
    <mergeCell ref="E12:E14"/>
    <mergeCell ref="G12:G14"/>
    <mergeCell ref="H12:H14"/>
    <mergeCell ref="I12:I14"/>
    <mergeCell ref="A27:A28"/>
    <mergeCell ref="E27:E28"/>
    <mergeCell ref="G27:G28"/>
    <mergeCell ref="H27:H28"/>
    <mergeCell ref="I27:I28"/>
    <mergeCell ref="A19:A25"/>
    <mergeCell ref="E19:E25"/>
    <mergeCell ref="G19:G25"/>
    <mergeCell ref="H19:H25"/>
    <mergeCell ref="I19:I25"/>
    <mergeCell ref="A32:A34"/>
    <mergeCell ref="E32:E34"/>
    <mergeCell ref="G32:G34"/>
    <mergeCell ref="H32:H34"/>
    <mergeCell ref="I32:I34"/>
    <mergeCell ref="A29:A30"/>
    <mergeCell ref="E29:E30"/>
    <mergeCell ref="G29:G30"/>
    <mergeCell ref="H29:H30"/>
    <mergeCell ref="I29:I30"/>
    <mergeCell ref="I43:I44"/>
    <mergeCell ref="A45:C45"/>
    <mergeCell ref="A35:A36"/>
    <mergeCell ref="E35:E36"/>
    <mergeCell ref="G35:G36"/>
    <mergeCell ref="H35:H36"/>
    <mergeCell ref="I35:I36"/>
    <mergeCell ref="A39:A41"/>
    <mergeCell ref="E39:E41"/>
    <mergeCell ref="G39:G41"/>
    <mergeCell ref="H39:H41"/>
    <mergeCell ref="I39:I41"/>
    <mergeCell ref="A46:C46"/>
    <mergeCell ref="A43:A44"/>
    <mergeCell ref="E43:E44"/>
    <mergeCell ref="G43:G44"/>
    <mergeCell ref="H43:H44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2026-08-26T00:55:18Z</dcterms:created>
  <dcterms:modified xsi:type="dcterms:W3CDTF">2026-08-26T00:58:06Z</dcterms:modified>
</cp:coreProperties>
</file>