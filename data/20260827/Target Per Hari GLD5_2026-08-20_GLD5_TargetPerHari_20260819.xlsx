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3" i="1"/>
  <c r="E33"/>
  <c r="D33"/>
  <c r="I31"/>
  <c r="E31"/>
  <c r="D31"/>
  <c r="L28"/>
  <c r="K30"/>
  <c r="F30"/>
  <c r="K29"/>
  <c r="F29"/>
  <c r="K28"/>
  <c r="F28"/>
  <c r="G28" s="1"/>
  <c r="H28" s="1"/>
  <c r="L27"/>
  <c r="K27"/>
  <c r="F27"/>
  <c r="G27" s="1"/>
  <c r="H27" s="1"/>
  <c r="L26"/>
  <c r="K26"/>
  <c r="F26"/>
  <c r="G26" s="1"/>
  <c r="H26" s="1"/>
  <c r="L25"/>
  <c r="G25"/>
  <c r="H25" s="1"/>
  <c r="K25"/>
  <c r="F25"/>
  <c r="L24"/>
  <c r="G24"/>
  <c r="H24" s="1"/>
  <c r="K24"/>
  <c r="F24"/>
  <c r="L23"/>
  <c r="H23"/>
  <c r="G23"/>
  <c r="K23"/>
  <c r="F23"/>
  <c r="L21"/>
  <c r="K22"/>
  <c r="F22"/>
  <c r="K21"/>
  <c r="F21"/>
  <c r="G21" s="1"/>
  <c r="H21" s="1"/>
  <c r="L20"/>
  <c r="H20"/>
  <c r="G20"/>
  <c r="K20"/>
  <c r="F20"/>
  <c r="L19"/>
  <c r="K19"/>
  <c r="F19"/>
  <c r="G19" s="1"/>
  <c r="H19" s="1"/>
  <c r="L17"/>
  <c r="K18"/>
  <c r="F18"/>
  <c r="K17"/>
  <c r="F17"/>
  <c r="G17" s="1"/>
  <c r="H17" s="1"/>
  <c r="D37" s="1"/>
  <c r="L15"/>
  <c r="K16"/>
  <c r="F16"/>
  <c r="K15"/>
  <c r="F15"/>
  <c r="G15" s="1"/>
  <c r="H15" s="1"/>
  <c r="L14"/>
  <c r="G14"/>
  <c r="H14" s="1"/>
  <c r="K14"/>
  <c r="F14"/>
  <c r="L13"/>
  <c r="H13"/>
  <c r="G13"/>
  <c r="K13"/>
  <c r="F13"/>
  <c r="L12"/>
  <c r="G12"/>
  <c r="H12" s="1"/>
  <c r="K12"/>
  <c r="F12"/>
  <c r="L10"/>
  <c r="K11"/>
  <c r="F11"/>
  <c r="K10"/>
  <c r="F10"/>
  <c r="G10" s="1"/>
  <c r="H10" s="1"/>
  <c r="L9"/>
  <c r="K9"/>
  <c r="F9"/>
  <c r="G9" s="1"/>
  <c r="H9" s="1"/>
  <c r="L8"/>
  <c r="K8"/>
  <c r="F8"/>
  <c r="G8" s="1"/>
  <c r="H8" s="1"/>
  <c r="L7"/>
  <c r="G7"/>
  <c r="H7" s="1"/>
  <c r="K7"/>
  <c r="F7"/>
  <c r="L6"/>
  <c r="H6"/>
  <c r="G6"/>
  <c r="K6"/>
  <c r="F6"/>
  <c r="L5"/>
  <c r="G5"/>
  <c r="H5" s="1"/>
  <c r="K5"/>
  <c r="F5"/>
  <c r="D36" l="1"/>
  <c r="L33"/>
  <c r="G33" s="1"/>
  <c r="D38"/>
  <c r="D35"/>
  <c r="L31"/>
  <c r="G31" s="1"/>
</calcChain>
</file>

<file path=xl/sharedStrings.xml><?xml version="1.0" encoding="utf-8"?>
<sst xmlns="http://schemas.openxmlformats.org/spreadsheetml/2006/main" count="65" uniqueCount="53">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</sst>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8"/>
  <sheetViews>
    <sheetView tabSelected="1" workbookViewId="0">
      <pane ySplit="4" topLeftCell="A5" activePane="bottomLeft" state="frozen"/>
      <selection pane="bottomLeft" activeCell="H2" sqref="H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6" width="8.7109375" style="1" customWidth="1"/>
    <col min="7" max="7" width="10.7109375" style="1" customWidth="1"/>
    <col min="8" max="8" width="8.7109375" style="1" customWidth="1"/>
    <col min="9" max="16384" width="9.140625" style="1"/>
  </cols>
  <sheetData>
    <row r="1" spans="1:12">
      <c r="A1" s="1" t="s">
        <v>0</v>
      </c>
      <c r="B1" s="2">
        <v>46253</v>
      </c>
    </row>
    <row r="2" spans="1:12" ht="13.5" thickBot="1"/>
    <row r="3" spans="1:12" ht="13.5" customHeight="1" thickTop="1">
      <c r="A3" s="30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2" t="s">
        <v>9</v>
      </c>
      <c r="J3" s="32" t="s">
        <v>10</v>
      </c>
      <c r="K3" s="32" t="s">
        <v>11</v>
      </c>
      <c r="L3" s="28" t="s">
        <v>12</v>
      </c>
    </row>
    <row r="4" spans="1:12">
      <c r="A4" s="31"/>
      <c r="B4" s="33"/>
      <c r="C4" s="33"/>
      <c r="D4" s="33"/>
      <c r="E4" s="33"/>
      <c r="F4" s="33"/>
      <c r="G4" s="33"/>
      <c r="H4" s="33"/>
      <c r="I4" s="33"/>
      <c r="J4" s="33"/>
      <c r="K4" s="33"/>
      <c r="L4" s="29"/>
    </row>
    <row r="5" spans="1:12">
      <c r="A5" s="3" t="s">
        <v>13</v>
      </c>
      <c r="B5" s="4" t="s">
        <v>14</v>
      </c>
      <c r="C5" s="5">
        <v>46238</v>
      </c>
      <c r="D5" s="27">
        <v>1403</v>
      </c>
      <c r="E5" s="7">
        <v>8</v>
      </c>
      <c r="F5" s="8">
        <f>IF(E5=0,0,D5/E5)</f>
        <v>175.375</v>
      </c>
      <c r="G5" s="9">
        <f>IF(E5=0,0,SUMPRODUCT(F5:F5,J5:J5)/(I5*2.52))</f>
        <v>1.6363819176319176</v>
      </c>
      <c r="H5" s="10">
        <f t="shared" ref="H5:H10" si="0">G5*I5*E5</f>
        <v>484.36904761904765</v>
      </c>
      <c r="I5" s="10">
        <v>37</v>
      </c>
      <c r="J5" s="6">
        <v>0.87</v>
      </c>
      <c r="K5" s="8">
        <f t="shared" ref="K5:K10" si="1">2.52/J5*I5</f>
        <v>107.17241379310344</v>
      </c>
      <c r="L5" s="11">
        <f t="shared" ref="L5:L10" si="2">E5*I5</f>
        <v>296</v>
      </c>
    </row>
    <row r="6" spans="1:12">
      <c r="A6" s="3" t="s">
        <v>15</v>
      </c>
      <c r="B6" s="4" t="s">
        <v>14</v>
      </c>
      <c r="C6" s="5">
        <v>46198</v>
      </c>
      <c r="D6" s="27">
        <v>1542</v>
      </c>
      <c r="E6" s="7">
        <v>8</v>
      </c>
      <c r="F6" s="8">
        <f>IF(E6=0,0,D6/E6)</f>
        <v>192.75</v>
      </c>
      <c r="G6" s="9">
        <f>IF(E6=0,0,SUMPRODUCT(F6:F6,J6:J6)/(I6*2.52))</f>
        <v>1.9012755102040815</v>
      </c>
      <c r="H6" s="10">
        <f t="shared" si="0"/>
        <v>532.35714285714278</v>
      </c>
      <c r="I6" s="10">
        <v>35</v>
      </c>
      <c r="J6" s="6">
        <v>0.87</v>
      </c>
      <c r="K6" s="8">
        <f t="shared" si="1"/>
        <v>101.37931034482759</v>
      </c>
      <c r="L6" s="11">
        <f t="shared" si="2"/>
        <v>280</v>
      </c>
    </row>
    <row r="7" spans="1:12">
      <c r="A7" s="3" t="s">
        <v>16</v>
      </c>
      <c r="B7" s="4" t="s">
        <v>17</v>
      </c>
      <c r="C7" s="5">
        <v>46245</v>
      </c>
      <c r="D7" s="27">
        <v>607</v>
      </c>
      <c r="E7" s="7">
        <v>8</v>
      </c>
      <c r="F7" s="8">
        <f>IF(E7=0,0,D7/E7)</f>
        <v>75.875</v>
      </c>
      <c r="G7" s="9">
        <f>IF(E7=0,0,SUMPRODUCT(F7:F7,J7:J7)/(I7*2.52))</f>
        <v>1.3345667095667095</v>
      </c>
      <c r="H7" s="10">
        <f t="shared" si="0"/>
        <v>395.03174603174602</v>
      </c>
      <c r="I7" s="10">
        <v>37</v>
      </c>
      <c r="J7" s="6">
        <v>1.64</v>
      </c>
      <c r="K7" s="8">
        <f t="shared" si="1"/>
        <v>56.853658536585364</v>
      </c>
      <c r="L7" s="11">
        <f t="shared" si="2"/>
        <v>296</v>
      </c>
    </row>
    <row r="8" spans="1:12">
      <c r="A8" s="3" t="s">
        <v>18</v>
      </c>
      <c r="B8" s="4" t="s">
        <v>14</v>
      </c>
      <c r="C8" s="5">
        <v>46219</v>
      </c>
      <c r="D8" s="27">
        <v>1570</v>
      </c>
      <c r="E8" s="7">
        <v>8</v>
      </c>
      <c r="F8" s="8">
        <f>IF(E8=0,0,D8/E8)</f>
        <v>196.25</v>
      </c>
      <c r="G8" s="9">
        <f>IF(E8=0,0,SUMPRODUCT(F8:F8,J8:J8)/(I8*2.52))</f>
        <v>1.8820271164021165</v>
      </c>
      <c r="H8" s="10">
        <f t="shared" si="0"/>
        <v>542.02380952380952</v>
      </c>
      <c r="I8" s="10">
        <v>36</v>
      </c>
      <c r="J8" s="6">
        <v>0.87</v>
      </c>
      <c r="K8" s="8">
        <f t="shared" si="1"/>
        <v>104.27586206896552</v>
      </c>
      <c r="L8" s="11">
        <f t="shared" si="2"/>
        <v>288</v>
      </c>
    </row>
    <row r="9" spans="1:12">
      <c r="A9" s="3" t="s">
        <v>19</v>
      </c>
      <c r="B9" s="4" t="s">
        <v>20</v>
      </c>
      <c r="C9" s="5">
        <v>46213</v>
      </c>
      <c r="D9" s="27">
        <v>761</v>
      </c>
      <c r="E9" s="7">
        <v>8</v>
      </c>
      <c r="F9" s="8">
        <f>IF(E9=0,0,D9/E9)</f>
        <v>95.125</v>
      </c>
      <c r="G9" s="9">
        <f>IF(E9=0,0,SUMPRODUCT(F9:F9,J9:J9)/(I9*2.52))</f>
        <v>2.0950148809523812</v>
      </c>
      <c r="H9" s="10">
        <f t="shared" si="0"/>
        <v>670.40476190476193</v>
      </c>
      <c r="I9" s="10">
        <v>40</v>
      </c>
      <c r="J9" s="6">
        <v>2.2200000000000002</v>
      </c>
      <c r="K9" s="8">
        <f t="shared" si="1"/>
        <v>45.405405405405403</v>
      </c>
      <c r="L9" s="11">
        <f t="shared" si="2"/>
        <v>320</v>
      </c>
    </row>
    <row r="10" spans="1:12">
      <c r="A10" s="34" t="s">
        <v>21</v>
      </c>
      <c r="B10" s="4" t="s">
        <v>20</v>
      </c>
      <c r="C10" s="5">
        <v>46207</v>
      </c>
      <c r="D10" s="27">
        <v>669</v>
      </c>
      <c r="E10" s="35">
        <v>8</v>
      </c>
      <c r="F10" s="8">
        <f>IF(E10=0,0,D10/E10)</f>
        <v>83.625</v>
      </c>
      <c r="G10" s="36">
        <f>IF(E10=0,0,SUMPRODUCT(F10:F11,J10:J11)/(I10*2.52))</f>
        <v>2.0681574431574434</v>
      </c>
      <c r="H10" s="37">
        <f t="shared" si="0"/>
        <v>612.17460317460325</v>
      </c>
      <c r="I10" s="37">
        <v>37</v>
      </c>
      <c r="J10" s="6">
        <v>2.2200000000000002</v>
      </c>
      <c r="K10" s="8">
        <f t="shared" si="1"/>
        <v>42</v>
      </c>
      <c r="L10" s="11">
        <f t="shared" si="2"/>
        <v>296</v>
      </c>
    </row>
    <row r="11" spans="1:12">
      <c r="A11" s="34"/>
      <c r="B11" s="4" t="s">
        <v>20</v>
      </c>
      <c r="C11" s="5">
        <v>46207</v>
      </c>
      <c r="D11" s="27">
        <v>25</v>
      </c>
      <c r="E11" s="35"/>
      <c r="F11" s="8">
        <f>IF(E10=0,0,D11/E10)</f>
        <v>3.125</v>
      </c>
      <c r="G11" s="36"/>
      <c r="H11" s="37"/>
      <c r="I11" s="37"/>
      <c r="J11" s="6">
        <v>2.2999999999999998</v>
      </c>
      <c r="K11" s="8">
        <f>2.52/J11*I10</f>
        <v>40.539130434782614</v>
      </c>
      <c r="L11" s="11"/>
    </row>
    <row r="12" spans="1:12">
      <c r="A12" s="3" t="s">
        <v>22</v>
      </c>
      <c r="B12" s="4" t="s">
        <v>23</v>
      </c>
      <c r="C12" s="5">
        <v>46245</v>
      </c>
      <c r="D12" s="27">
        <v>794</v>
      </c>
      <c r="E12" s="7">
        <v>8</v>
      </c>
      <c r="F12" s="8">
        <f>IF(E12=0,0,D12/E12)</f>
        <v>99.25</v>
      </c>
      <c r="G12" s="9">
        <f>IF(E12=0,0,SUMPRODUCT(F12:F12,J12:J12)/(I12*2.52))</f>
        <v>1.2644632414369255</v>
      </c>
      <c r="H12" s="10">
        <f>G12*I12*E12</f>
        <v>384.39682539682536</v>
      </c>
      <c r="I12" s="10">
        <v>38</v>
      </c>
      <c r="J12" s="6">
        <v>1.22</v>
      </c>
      <c r="K12" s="8">
        <f>2.52/J12*I12</f>
        <v>78.491803278688522</v>
      </c>
      <c r="L12" s="11">
        <f>E12*I12</f>
        <v>304</v>
      </c>
    </row>
    <row r="13" spans="1:12">
      <c r="A13" s="3" t="s">
        <v>24</v>
      </c>
      <c r="B13" s="4" t="s">
        <v>25</v>
      </c>
      <c r="C13" s="5">
        <v>46239</v>
      </c>
      <c r="D13" s="27">
        <v>554</v>
      </c>
      <c r="E13" s="7">
        <v>8</v>
      </c>
      <c r="F13" s="8">
        <f>IF(E13=0,0,D13/E13)</f>
        <v>69.25</v>
      </c>
      <c r="G13" s="9">
        <f>IF(E13=0,0,SUMPRODUCT(F13:F13,J13:J13)/(I13*2.52))</f>
        <v>1.2583020050125313</v>
      </c>
      <c r="H13" s="10">
        <f>G13*I13*E13</f>
        <v>382.52380952380952</v>
      </c>
      <c r="I13" s="10">
        <v>38</v>
      </c>
      <c r="J13" s="6">
        <v>1.74</v>
      </c>
      <c r="K13" s="8">
        <f>2.52/J13*I13</f>
        <v>55.03448275862069</v>
      </c>
      <c r="L13" s="11">
        <f>E13*I13</f>
        <v>304</v>
      </c>
    </row>
    <row r="14" spans="1:12">
      <c r="A14" s="3" t="s">
        <v>26</v>
      </c>
      <c r="B14" s="4" t="s">
        <v>25</v>
      </c>
      <c r="C14" s="5">
        <v>46240</v>
      </c>
      <c r="D14" s="27">
        <v>578</v>
      </c>
      <c r="E14" s="7">
        <v>8</v>
      </c>
      <c r="F14" s="8">
        <f>IF(E14=0,0,D14/E14)</f>
        <v>72.25</v>
      </c>
      <c r="G14" s="9">
        <f>IF(E14=0,0,SUMPRODUCT(F14:F14,J14:J14)/(I14*2.52))</f>
        <v>1.3128132832080199</v>
      </c>
      <c r="H14" s="10">
        <f>G14*I14*E14</f>
        <v>399.09523809523807</v>
      </c>
      <c r="I14" s="10">
        <v>38</v>
      </c>
      <c r="J14" s="6">
        <v>1.74</v>
      </c>
      <c r="K14" s="8">
        <f>2.52/J14*I14</f>
        <v>55.03448275862069</v>
      </c>
      <c r="L14" s="11">
        <f>E14*I14</f>
        <v>304</v>
      </c>
    </row>
    <row r="15" spans="1:12">
      <c r="A15" s="34" t="s">
        <v>27</v>
      </c>
      <c r="B15" s="4" t="s">
        <v>28</v>
      </c>
      <c r="C15" s="5">
        <v>46157</v>
      </c>
      <c r="D15" s="27">
        <v>1199</v>
      </c>
      <c r="E15" s="35">
        <v>8</v>
      </c>
      <c r="F15" s="8">
        <f>IF(E15=0,0,D15/E15)</f>
        <v>149.875</v>
      </c>
      <c r="G15" s="36">
        <f>IF(E15=0,0,SUMPRODUCT(F15:F16,J15:J16)/(I15*2.52))</f>
        <v>1.8346688034188035</v>
      </c>
      <c r="H15" s="37">
        <f>G15*I15*E15</f>
        <v>572.41666666666663</v>
      </c>
      <c r="I15" s="37">
        <v>39</v>
      </c>
      <c r="J15" s="6">
        <v>1.2</v>
      </c>
      <c r="K15" s="8">
        <f>2.52/J15*I15</f>
        <v>81.900000000000006</v>
      </c>
      <c r="L15" s="11">
        <f>E15*I15</f>
        <v>312</v>
      </c>
    </row>
    <row r="16" spans="1:12">
      <c r="A16" s="34"/>
      <c r="B16" s="4" t="s">
        <v>28</v>
      </c>
      <c r="C16" s="5">
        <v>46157</v>
      </c>
      <c r="D16" s="27">
        <v>3</v>
      </c>
      <c r="E16" s="35"/>
      <c r="F16" s="8">
        <f>IF(E15=0,0,D16/E15)</f>
        <v>0.375</v>
      </c>
      <c r="G16" s="36"/>
      <c r="H16" s="37"/>
      <c r="I16" s="37"/>
      <c r="J16" s="6">
        <v>1.23</v>
      </c>
      <c r="K16" s="8">
        <f>2.52/J16*I15</f>
        <v>79.902439024390247</v>
      </c>
      <c r="L16" s="11"/>
    </row>
    <row r="17" spans="1:12">
      <c r="A17" s="34" t="s">
        <v>29</v>
      </c>
      <c r="B17" s="4" t="s">
        <v>30</v>
      </c>
      <c r="C17" s="5">
        <v>46154</v>
      </c>
      <c r="D17" s="27">
        <v>754</v>
      </c>
      <c r="E17" s="35">
        <v>8</v>
      </c>
      <c r="F17" s="8">
        <f>IF(E17=0,0,D17/E17)</f>
        <v>94.25</v>
      </c>
      <c r="G17" s="36">
        <f>IF(E17=0,0,SUMPRODUCT(F17:F18,J17:J18)/(I17*2.52))</f>
        <v>2.3278639306599835</v>
      </c>
      <c r="H17" s="37">
        <f>G17*I17*E17</f>
        <v>707.67063492063494</v>
      </c>
      <c r="I17" s="37">
        <v>38</v>
      </c>
      <c r="J17" s="6">
        <v>2.33</v>
      </c>
      <c r="K17" s="8">
        <f>2.52/J17*I17</f>
        <v>41.098712446351925</v>
      </c>
      <c r="L17" s="11">
        <f>E17*I17</f>
        <v>304</v>
      </c>
    </row>
    <row r="18" spans="1:12">
      <c r="A18" s="34"/>
      <c r="B18" s="4" t="s">
        <v>30</v>
      </c>
      <c r="C18" s="5">
        <v>46154</v>
      </c>
      <c r="D18" s="27">
        <v>11</v>
      </c>
      <c r="E18" s="35"/>
      <c r="F18" s="8">
        <f>IF(E17=0,0,D18/E17)</f>
        <v>1.375</v>
      </c>
      <c r="G18" s="36"/>
      <c r="H18" s="37"/>
      <c r="I18" s="37"/>
      <c r="J18" s="6">
        <v>2.41</v>
      </c>
      <c r="K18" s="8">
        <f>2.52/J18*I17</f>
        <v>39.73443983402489</v>
      </c>
      <c r="L18" s="11"/>
    </row>
    <row r="19" spans="1:12">
      <c r="A19" s="3" t="s">
        <v>31</v>
      </c>
      <c r="B19" s="4" t="s">
        <v>32</v>
      </c>
      <c r="C19" s="5">
        <v>46235</v>
      </c>
      <c r="D19" s="27">
        <v>889</v>
      </c>
      <c r="E19" s="7">
        <v>8</v>
      </c>
      <c r="F19" s="8">
        <f>IF(E19=0,0,D19/E19)</f>
        <v>111.125</v>
      </c>
      <c r="G19" s="9">
        <f>IF(E19=0,0,SUMPRODUCT(F19:F19,J19:J19)/(I19*2.52))</f>
        <v>1.3825075075075075</v>
      </c>
      <c r="H19" s="10">
        <f>G19*I19*E19</f>
        <v>409.22222222222223</v>
      </c>
      <c r="I19" s="10">
        <v>37</v>
      </c>
      <c r="J19" s="6">
        <v>1.1599999999999999</v>
      </c>
      <c r="K19" s="8">
        <f>2.52/J19*I19</f>
        <v>80.379310344827587</v>
      </c>
      <c r="L19" s="11">
        <f>E19*I19</f>
        <v>296</v>
      </c>
    </row>
    <row r="20" spans="1:12">
      <c r="A20" s="3" t="s">
        <v>33</v>
      </c>
      <c r="B20" s="4" t="s">
        <v>34</v>
      </c>
      <c r="C20" s="5">
        <v>46220</v>
      </c>
      <c r="D20" s="27">
        <v>633</v>
      </c>
      <c r="E20" s="7">
        <v>8</v>
      </c>
      <c r="F20" s="8">
        <f>IF(E20=0,0,D20/E20)</f>
        <v>79.125</v>
      </c>
      <c r="G20" s="9">
        <f>IF(E20=0,0,SUMPRODUCT(F20:F20,J20:J20)/(I20*2.52))</f>
        <v>1.2720543345543347</v>
      </c>
      <c r="H20" s="10">
        <f>G20*I20*E20</f>
        <v>396.88095238095241</v>
      </c>
      <c r="I20" s="10">
        <v>39</v>
      </c>
      <c r="J20" s="6">
        <v>1.58</v>
      </c>
      <c r="K20" s="8">
        <f>2.52/J20*I20</f>
        <v>62.202531645569614</v>
      </c>
      <c r="L20" s="11">
        <f>E20*I20</f>
        <v>312</v>
      </c>
    </row>
    <row r="21" spans="1:12">
      <c r="A21" s="34" t="s">
        <v>35</v>
      </c>
      <c r="B21" s="4" t="s">
        <v>36</v>
      </c>
      <c r="C21" s="5">
        <v>46192</v>
      </c>
      <c r="D21" s="27">
        <v>0</v>
      </c>
      <c r="E21" s="35">
        <v>8</v>
      </c>
      <c r="F21" s="8">
        <f>IF(E21=0,0,D21/E21)</f>
        <v>0</v>
      </c>
      <c r="G21" s="36">
        <f>IF(E21=0,0,SUMPRODUCT(F21:F22,J21:J22)/(I21*2.52))</f>
        <v>1.2994204260651627</v>
      </c>
      <c r="H21" s="37">
        <f>G21*I21*E21</f>
        <v>395.02380952380946</v>
      </c>
      <c r="I21" s="37">
        <v>38</v>
      </c>
      <c r="J21" s="6">
        <v>1.28</v>
      </c>
      <c r="K21" s="8">
        <f>2.52/J21*I21</f>
        <v>74.8125</v>
      </c>
      <c r="L21" s="11">
        <f>E21*I21</f>
        <v>304</v>
      </c>
    </row>
    <row r="22" spans="1:12">
      <c r="A22" s="34"/>
      <c r="B22" s="4" t="s">
        <v>37</v>
      </c>
      <c r="C22" s="5">
        <v>46214</v>
      </c>
      <c r="D22" s="27">
        <v>706</v>
      </c>
      <c r="E22" s="35"/>
      <c r="F22" s="8">
        <f>IF(E21=0,0,D22/E21)</f>
        <v>88.25</v>
      </c>
      <c r="G22" s="36"/>
      <c r="H22" s="37"/>
      <c r="I22" s="37"/>
      <c r="J22" s="6">
        <v>1.41</v>
      </c>
      <c r="K22" s="8">
        <f>2.52/J22*I21</f>
        <v>67.914893617021278</v>
      </c>
      <c r="L22" s="11"/>
    </row>
    <row r="23" spans="1:12">
      <c r="A23" s="3" t="s">
        <v>38</v>
      </c>
      <c r="B23" s="4" t="s">
        <v>14</v>
      </c>
      <c r="C23" s="5">
        <v>46209</v>
      </c>
      <c r="D23" s="27">
        <v>1765</v>
      </c>
      <c r="E23" s="7">
        <v>8</v>
      </c>
      <c r="F23" s="8">
        <f>IF(E23=0,0,D23/E23)</f>
        <v>220.625</v>
      </c>
      <c r="G23" s="9">
        <f>IF(E23=0,0,SUMPRODUCT(F23:F23,J23:J23)/(I23*2.52))</f>
        <v>2.0044251253132832</v>
      </c>
      <c r="H23" s="10">
        <f t="shared" ref="H23:H28" si="3">G23*I23*E23</f>
        <v>609.34523809523807</v>
      </c>
      <c r="I23" s="10">
        <v>38</v>
      </c>
      <c r="J23" s="6">
        <v>0.87</v>
      </c>
      <c r="K23" s="8">
        <f t="shared" ref="K23:K28" si="4">2.52/J23*I23</f>
        <v>110.06896551724138</v>
      </c>
      <c r="L23" s="11">
        <f t="shared" ref="L23:L28" si="5">E23*I23</f>
        <v>304</v>
      </c>
    </row>
    <row r="24" spans="1:12">
      <c r="A24" s="3" t="s">
        <v>39</v>
      </c>
      <c r="B24" s="4" t="s">
        <v>14</v>
      </c>
      <c r="C24" s="5">
        <v>46209</v>
      </c>
      <c r="D24" s="27">
        <v>1700</v>
      </c>
      <c r="E24" s="7">
        <v>8</v>
      </c>
      <c r="F24" s="8">
        <f>IF(E24=0,0,D24/E24)</f>
        <v>212.5</v>
      </c>
      <c r="G24" s="9">
        <f>IF(E24=0,0,SUMPRODUCT(F24:F24,J24:J24)/(I24*2.52))</f>
        <v>1.8811050061050061</v>
      </c>
      <c r="H24" s="10">
        <f t="shared" si="3"/>
        <v>586.90476190476193</v>
      </c>
      <c r="I24" s="10">
        <v>39</v>
      </c>
      <c r="J24" s="6">
        <v>0.87</v>
      </c>
      <c r="K24" s="8">
        <f t="shared" si="4"/>
        <v>112.96551724137932</v>
      </c>
      <c r="L24" s="11">
        <f t="shared" si="5"/>
        <v>312</v>
      </c>
    </row>
    <row r="25" spans="1:12">
      <c r="A25" s="3" t="s">
        <v>40</v>
      </c>
      <c r="B25" s="4" t="s">
        <v>20</v>
      </c>
      <c r="C25" s="5">
        <v>46155</v>
      </c>
      <c r="D25" s="27">
        <v>758</v>
      </c>
      <c r="E25" s="7">
        <v>8</v>
      </c>
      <c r="F25" s="8">
        <f>IF(E25=0,0,D25/E25)</f>
        <v>94.75</v>
      </c>
      <c r="G25" s="9">
        <f>IF(E25=0,0,SUMPRODUCT(F25:F25,J25:J25)/(I25*2.52))</f>
        <v>2.0867559523809529</v>
      </c>
      <c r="H25" s="10">
        <f t="shared" si="3"/>
        <v>667.76190476190493</v>
      </c>
      <c r="I25" s="10">
        <v>40</v>
      </c>
      <c r="J25" s="6">
        <v>2.2200000000000002</v>
      </c>
      <c r="K25" s="8">
        <f t="shared" si="4"/>
        <v>45.405405405405403</v>
      </c>
      <c r="L25" s="11">
        <f t="shared" si="5"/>
        <v>320</v>
      </c>
    </row>
    <row r="26" spans="1:12">
      <c r="A26" s="3" t="s">
        <v>41</v>
      </c>
      <c r="B26" s="4" t="s">
        <v>14</v>
      </c>
      <c r="C26" s="5">
        <v>46219</v>
      </c>
      <c r="D26" s="27">
        <v>1607</v>
      </c>
      <c r="E26" s="7">
        <v>8</v>
      </c>
      <c r="F26" s="8">
        <f>IF(E26=0,0,D26/E26)</f>
        <v>200.875</v>
      </c>
      <c r="G26" s="9">
        <f>IF(E26=0,0,SUMPRODUCT(F26:F26,J26:J26)/(I26*2.52))</f>
        <v>1.9263806216931216</v>
      </c>
      <c r="H26" s="10">
        <f t="shared" si="3"/>
        <v>554.79761904761904</v>
      </c>
      <c r="I26" s="10">
        <v>36</v>
      </c>
      <c r="J26" s="6">
        <v>0.87</v>
      </c>
      <c r="K26" s="8">
        <f t="shared" si="4"/>
        <v>104.27586206896552</v>
      </c>
      <c r="L26" s="11">
        <f t="shared" si="5"/>
        <v>288</v>
      </c>
    </row>
    <row r="27" spans="1:12">
      <c r="A27" s="3" t="s">
        <v>42</v>
      </c>
      <c r="B27" s="4" t="s">
        <v>14</v>
      </c>
      <c r="C27" s="5">
        <v>46192</v>
      </c>
      <c r="D27" s="27">
        <v>1862</v>
      </c>
      <c r="E27" s="7">
        <v>8</v>
      </c>
      <c r="F27" s="8">
        <f>IF(E27=0,0,D27/E27)</f>
        <v>232.75</v>
      </c>
      <c r="G27" s="9">
        <f>IF(E27=0,0,SUMPRODUCT(F27:F27,J27:J27)/(I27*2.52))</f>
        <v>2.0603632478632479</v>
      </c>
      <c r="H27" s="10">
        <f t="shared" si="3"/>
        <v>642.83333333333337</v>
      </c>
      <c r="I27" s="10">
        <v>39</v>
      </c>
      <c r="J27" s="6">
        <v>0.87</v>
      </c>
      <c r="K27" s="8">
        <f t="shared" si="4"/>
        <v>112.96551724137932</v>
      </c>
      <c r="L27" s="11">
        <f t="shared" si="5"/>
        <v>312</v>
      </c>
    </row>
    <row r="28" spans="1:12">
      <c r="A28" s="34" t="s">
        <v>43</v>
      </c>
      <c r="B28" s="4" t="s">
        <v>44</v>
      </c>
      <c r="C28" s="5">
        <v>46237</v>
      </c>
      <c r="D28" s="27">
        <v>10</v>
      </c>
      <c r="E28" s="35">
        <v>8</v>
      </c>
      <c r="F28" s="8">
        <f>IF(E28=0,0,D28/E28)</f>
        <v>1.25</v>
      </c>
      <c r="G28" s="36">
        <f>IF(E28=0,0,SUMPRODUCT(F28:F30,J28:J30)/(I28*2.52))</f>
        <v>1.251905806182122</v>
      </c>
      <c r="H28" s="37">
        <f t="shared" si="3"/>
        <v>380.57936507936506</v>
      </c>
      <c r="I28" s="37">
        <v>38</v>
      </c>
      <c r="J28" s="6">
        <v>0.79</v>
      </c>
      <c r="K28" s="8">
        <f t="shared" si="4"/>
        <v>121.21518987341771</v>
      </c>
      <c r="L28" s="11">
        <f t="shared" si="5"/>
        <v>304</v>
      </c>
    </row>
    <row r="29" spans="1:12">
      <c r="A29" s="34"/>
      <c r="B29" s="4" t="s">
        <v>45</v>
      </c>
      <c r="C29" s="5">
        <v>46244</v>
      </c>
      <c r="D29" s="27">
        <v>1067</v>
      </c>
      <c r="E29" s="35"/>
      <c r="F29" s="8">
        <f>IF(E28=0,0,D29/E28)</f>
        <v>133.375</v>
      </c>
      <c r="G29" s="36"/>
      <c r="H29" s="37"/>
      <c r="I29" s="37"/>
      <c r="J29" s="6">
        <v>0.79</v>
      </c>
      <c r="K29" s="8">
        <f>2.52/J29*I28</f>
        <v>121.21518987341771</v>
      </c>
      <c r="L29" s="11"/>
    </row>
    <row r="30" spans="1:12">
      <c r="A30" s="34"/>
      <c r="B30" s="4" t="s">
        <v>46</v>
      </c>
      <c r="C30" s="5">
        <v>46253</v>
      </c>
      <c r="D30" s="27">
        <v>137</v>
      </c>
      <c r="E30" s="35"/>
      <c r="F30" s="8">
        <f>IF(E28=0,0,D30/E28)</f>
        <v>17.125</v>
      </c>
      <c r="G30" s="36"/>
      <c r="H30" s="37"/>
      <c r="I30" s="37"/>
      <c r="J30" s="6">
        <v>0.79</v>
      </c>
      <c r="K30" s="8">
        <f>2.52/J30*I28</f>
        <v>121.21518987341771</v>
      </c>
      <c r="L30" s="11"/>
    </row>
    <row r="31" spans="1:12">
      <c r="A31" s="38" t="s">
        <v>47</v>
      </c>
      <c r="B31" s="39"/>
      <c r="C31" s="40"/>
      <c r="D31" s="12">
        <f>SUM(D5:D30)</f>
        <v>21604</v>
      </c>
      <c r="E31" s="13">
        <f>SUM(E5:E30)</f>
        <v>160</v>
      </c>
      <c r="F31" s="14"/>
      <c r="G31" s="15">
        <f>SUM(H5:H30)/L31</f>
        <v>1.7050550680421883</v>
      </c>
      <c r="H31" s="12"/>
      <c r="I31" s="12">
        <f>SUM(I5:I30)</f>
        <v>757</v>
      </c>
      <c r="J31" s="12"/>
      <c r="K31" s="14"/>
      <c r="L31" s="16">
        <f>SUM(L5:L30)</f>
        <v>6056</v>
      </c>
    </row>
    <row r="32" spans="1:12">
      <c r="A32" s="17"/>
      <c r="B32" s="6"/>
      <c r="C32" s="5"/>
      <c r="D32" s="6"/>
      <c r="E32" s="18"/>
      <c r="F32" s="8"/>
      <c r="G32" s="19"/>
      <c r="H32" s="6"/>
      <c r="I32" s="6"/>
      <c r="J32" s="6"/>
      <c r="K32" s="8"/>
      <c r="L32" s="11"/>
    </row>
    <row r="33" spans="1:12" ht="13.5" thickBot="1">
      <c r="A33" s="41" t="s">
        <v>48</v>
      </c>
      <c r="B33" s="42"/>
      <c r="C33" s="43"/>
      <c r="D33" s="20">
        <f>SUMIF(A5:A32, "&lt;&gt;Summary", D5:D32)</f>
        <v>21604</v>
      </c>
      <c r="E33" s="21">
        <f>SUMIF(A5:A32, "&lt;&gt;Summary", E5:E32)</f>
        <v>160</v>
      </c>
      <c r="F33" s="22"/>
      <c r="G33" s="23">
        <f>SUMIF(A5:A32, "&lt;&gt;Summary", H5:H32)/L33</f>
        <v>1.7050550680421883</v>
      </c>
      <c r="H33" s="20"/>
      <c r="I33" s="20">
        <f>SUMIF(A5:A32, "&lt;&gt;Summary", I5:I32)</f>
        <v>757</v>
      </c>
      <c r="J33" s="20"/>
      <c r="K33" s="22"/>
      <c r="L33" s="24">
        <f>SUMIF(A5:A32, "&lt;&gt;Summary", L5:L32)</f>
        <v>6056</v>
      </c>
    </row>
    <row r="34" spans="1:12" ht="13.5" thickTop="1"/>
    <row r="35" spans="1:12">
      <c r="C35" s="25" t="s">
        <v>49</v>
      </c>
      <c r="D35" s="26">
        <f>SUM(H5:H9)/SUM(L5:L9)</f>
        <v>1.7730989918489919</v>
      </c>
    </row>
    <row r="36" spans="1:12">
      <c r="C36" s="25" t="s">
        <v>50</v>
      </c>
      <c r="D36" s="26">
        <f>SUM(H10:H16)/SUM(L10:L16)</f>
        <v>1.5464520676691729</v>
      </c>
    </row>
    <row r="37" spans="1:12">
      <c r="C37" s="25" t="s">
        <v>51</v>
      </c>
      <c r="D37" s="26">
        <f>SUM(H17:H23)/SUM(L17:L23)</f>
        <v>1.6566729323308269</v>
      </c>
    </row>
    <row r="38" spans="1:12">
      <c r="C38" s="25" t="s">
        <v>52</v>
      </c>
      <c r="D38" s="26">
        <f>SUM(H24:H30)/SUM(L24:L30)</f>
        <v>1.8443209532076719</v>
      </c>
    </row>
  </sheetData>
  <mergeCells count="39">
    <mergeCell ref="A33:C33"/>
    <mergeCell ref="A28:A30"/>
    <mergeCell ref="E28:E30"/>
    <mergeCell ref="G28:G30"/>
    <mergeCell ref="H28:H30"/>
    <mergeCell ref="I28:I30"/>
    <mergeCell ref="A31:C31"/>
    <mergeCell ref="A17:A18"/>
    <mergeCell ref="E17:E18"/>
    <mergeCell ref="G17:G18"/>
    <mergeCell ref="H17:H18"/>
    <mergeCell ref="I17:I18"/>
    <mergeCell ref="A21:A22"/>
    <mergeCell ref="E21:E22"/>
    <mergeCell ref="G21:G22"/>
    <mergeCell ref="H21:H22"/>
    <mergeCell ref="I21:I22"/>
    <mergeCell ref="A10:A11"/>
    <mergeCell ref="E10:E11"/>
    <mergeCell ref="G10:G11"/>
    <mergeCell ref="H10:H11"/>
    <mergeCell ref="I10:I11"/>
    <mergeCell ref="A15:A16"/>
    <mergeCell ref="E15:E16"/>
    <mergeCell ref="G15:G16"/>
    <mergeCell ref="H15:H16"/>
    <mergeCell ref="I15:I16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2026-08-20T02:09:02Z</cp:lastPrinted>
  <dcterms:created xsi:type="dcterms:W3CDTF">2026-08-20T00:44:15Z</dcterms:created>
  <dcterms:modified xsi:type="dcterms:W3CDTF">2026-08-20T02:25:25Z</dcterms:modified>
</cp:coreProperties>
</file>