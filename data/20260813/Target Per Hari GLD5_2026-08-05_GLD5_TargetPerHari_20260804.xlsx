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955" windowHeight="12480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I33" i="1"/>
  <c r="E33"/>
  <c r="D33"/>
  <c r="I31"/>
  <c r="E31"/>
  <c r="D31"/>
  <c r="L29"/>
  <c r="K30"/>
  <c r="F30"/>
  <c r="K29"/>
  <c r="F29"/>
  <c r="G29" s="1"/>
  <c r="H29" s="1"/>
  <c r="L28"/>
  <c r="K28"/>
  <c r="F28"/>
  <c r="G28" s="1"/>
  <c r="H28" s="1"/>
  <c r="L27"/>
  <c r="K27"/>
  <c r="F27"/>
  <c r="G27" s="1"/>
  <c r="H27" s="1"/>
  <c r="L26"/>
  <c r="K26"/>
  <c r="F26"/>
  <c r="G26" s="1"/>
  <c r="H26" s="1"/>
  <c r="L25"/>
  <c r="K25"/>
  <c r="F25"/>
  <c r="G25" s="1"/>
  <c r="H25" s="1"/>
  <c r="L24"/>
  <c r="K24"/>
  <c r="F24"/>
  <c r="G24" s="1"/>
  <c r="H24" s="1"/>
  <c r="L23"/>
  <c r="K23"/>
  <c r="F23"/>
  <c r="G23" s="1"/>
  <c r="H23" s="1"/>
  <c r="L22"/>
  <c r="K22"/>
  <c r="F22"/>
  <c r="G22" s="1"/>
  <c r="H22" s="1"/>
  <c r="L21"/>
  <c r="K21"/>
  <c r="F21"/>
  <c r="G21" s="1"/>
  <c r="H21" s="1"/>
  <c r="L19"/>
  <c r="K20"/>
  <c r="F20"/>
  <c r="K19"/>
  <c r="F19"/>
  <c r="G19" s="1"/>
  <c r="H19" s="1"/>
  <c r="L18"/>
  <c r="K18"/>
  <c r="F18"/>
  <c r="G18" s="1"/>
  <c r="H18" s="1"/>
  <c r="L16"/>
  <c r="K17"/>
  <c r="F17"/>
  <c r="K16"/>
  <c r="F16"/>
  <c r="G16" s="1"/>
  <c r="H16" s="1"/>
  <c r="L14"/>
  <c r="K15"/>
  <c r="F15"/>
  <c r="K14"/>
  <c r="F14"/>
  <c r="L13"/>
  <c r="K13"/>
  <c r="F13"/>
  <c r="G13" s="1"/>
  <c r="H13" s="1"/>
  <c r="L11"/>
  <c r="K12"/>
  <c r="F12"/>
  <c r="K11"/>
  <c r="F11"/>
  <c r="L10"/>
  <c r="K10"/>
  <c r="F10"/>
  <c r="G10" s="1"/>
  <c r="H10" s="1"/>
  <c r="L9"/>
  <c r="K9"/>
  <c r="F9"/>
  <c r="G9" s="1"/>
  <c r="H9" s="1"/>
  <c r="L8"/>
  <c r="K8"/>
  <c r="F8"/>
  <c r="G8" s="1"/>
  <c r="H8" s="1"/>
  <c r="L7"/>
  <c r="G7"/>
  <c r="H7" s="1"/>
  <c r="K7"/>
  <c r="F7"/>
  <c r="L5"/>
  <c r="K6"/>
  <c r="F6"/>
  <c r="K5"/>
  <c r="F5"/>
  <c r="L33" l="1"/>
  <c r="G11"/>
  <c r="H11" s="1"/>
  <c r="D36" s="1"/>
  <c r="D38"/>
  <c r="G14"/>
  <c r="H14" s="1"/>
  <c r="G5"/>
  <c r="H5" s="1"/>
  <c r="L31"/>
  <c r="G31" s="1"/>
  <c r="D37"/>
  <c r="D35"/>
  <c r="G33" l="1"/>
</calcChain>
</file>

<file path=xl/sharedStrings.xml><?xml version="1.0" encoding="utf-8"?>
<sst xmlns="http://schemas.openxmlformats.org/spreadsheetml/2006/main" count="65" uniqueCount="54">
  <si>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</si>
  <si>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</si>
  <si>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</si>
  <si>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</si>
  <si>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</si>
  <si>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</si>
  <si>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</si>
  <si>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</si>
  <si>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</si>
  <si>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</si>
  <si>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</si>
  <si>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</si>
  <si>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</si>
  <si>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</si>
  <si>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MX6FJ409_HO26</t>
  </si>
  <si>
    <t>K86W2L_C426IND</t>
  </si>
  <si>
    <t>5-02</t>
  </si>
  <si>
    <t>5-03</t>
  </si>
  <si>
    <t>319260007</t>
  </si>
  <si>
    <t>5-04</t>
  </si>
  <si>
    <t>5-05</t>
  </si>
  <si>
    <t>W98Z8Z_C426IND</t>
  </si>
  <si>
    <t>5-06</t>
  </si>
  <si>
    <t>5-07</t>
  </si>
  <si>
    <t>LK881_FA26</t>
  </si>
  <si>
    <t>5-08</t>
  </si>
  <si>
    <t>319260003</t>
  </si>
  <si>
    <t>319260006</t>
  </si>
  <si>
    <t>5-09</t>
  </si>
  <si>
    <t>ZC6FR420R/P</t>
  </si>
  <si>
    <t>5-10</t>
  </si>
  <si>
    <t>ZS5FR410_FA26</t>
  </si>
  <si>
    <t>5-11</t>
  </si>
  <si>
    <t>L0R516_C426IND</t>
  </si>
  <si>
    <t>5-12</t>
  </si>
  <si>
    <t>K864_FA26</t>
  </si>
  <si>
    <t>5-13</t>
  </si>
  <si>
    <t>MX6FK108_HO26</t>
  </si>
  <si>
    <t>5-14</t>
  </si>
  <si>
    <t>K880_FA26</t>
  </si>
  <si>
    <t>5-15</t>
  </si>
  <si>
    <t>5-16</t>
  </si>
  <si>
    <t>5-17</t>
  </si>
  <si>
    <t>5-18</t>
  </si>
  <si>
    <t>5-19</t>
  </si>
  <si>
    <t>5-20</t>
  </si>
  <si>
    <t>WAX210_Q426</t>
  </si>
  <si>
    <t>MAX233402_Q426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</si>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</sst>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2" fillId="0" borderId="0" xfId="0" applyFont="1"/>
    <xf numFmtId="167" fontId="2" fillId="0" borderId="0" xfId="0" applyNumberFormat="1" applyFont="1"/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38"/>
  <sheetViews>
    <sheetView tabSelected="1" workbookViewId="0">
      <pane ySplit="4" topLeftCell="A5" activePane="bottomLeft" state="frozen"/>
      <selection pane="bottomLeft" activeCell="P7" sqref="P7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46238</v>
      </c>
    </row>
    <row r="2" spans="1:12" ht="13.5" thickBot="1"/>
    <row r="3" spans="1:12" ht="13.5" customHeight="1" thickTop="1">
      <c r="A3" s="29" t="s">
        <v>1</v>
      </c>
      <c r="B3" s="31" t="s">
        <v>2</v>
      </c>
      <c r="C3" s="31" t="s">
        <v>3</v>
      </c>
      <c r="D3" s="31" t="s">
        <v>4</v>
      </c>
      <c r="E3" s="31" t="s">
        <v>5</v>
      </c>
      <c r="F3" s="31" t="s">
        <v>6</v>
      </c>
      <c r="G3" s="31" t="s">
        <v>7</v>
      </c>
      <c r="H3" s="31" t="s">
        <v>8</v>
      </c>
      <c r="I3" s="31" t="s">
        <v>9</v>
      </c>
      <c r="J3" s="31" t="s">
        <v>10</v>
      </c>
      <c r="K3" s="31" t="s">
        <v>11</v>
      </c>
      <c r="L3" s="27" t="s">
        <v>12</v>
      </c>
    </row>
    <row r="4" spans="1:12">
      <c r="A4" s="30"/>
      <c r="B4" s="32"/>
      <c r="C4" s="32"/>
      <c r="D4" s="32"/>
      <c r="E4" s="32"/>
      <c r="F4" s="32"/>
      <c r="G4" s="32"/>
      <c r="H4" s="32"/>
      <c r="I4" s="32"/>
      <c r="J4" s="32"/>
      <c r="K4" s="32"/>
      <c r="L4" s="28"/>
    </row>
    <row r="5" spans="1:12">
      <c r="A5" s="33" t="s">
        <v>13</v>
      </c>
      <c r="B5" s="3" t="s">
        <v>14</v>
      </c>
      <c r="C5" s="4">
        <v>46220</v>
      </c>
      <c r="D5" s="5">
        <v>466</v>
      </c>
      <c r="E5" s="34">
        <v>8</v>
      </c>
      <c r="F5" s="6">
        <f>IF(E5=0,0,D5/E5)</f>
        <v>58.25</v>
      </c>
      <c r="G5" s="35">
        <f>IF(E5=0,0,SUMPRODUCT(F5:F6,J5:J6)/(I5*2.52))</f>
        <v>1.1010077276524646</v>
      </c>
      <c r="H5" s="36">
        <f>G5*I5*E5</f>
        <v>334.70634920634922</v>
      </c>
      <c r="I5" s="36">
        <v>38</v>
      </c>
      <c r="J5" s="5">
        <v>1.81</v>
      </c>
      <c r="K5" s="6">
        <f>2.52/J5*I5</f>
        <v>52.906077348066297</v>
      </c>
      <c r="L5" s="7">
        <f>E5*I5</f>
        <v>304</v>
      </c>
    </row>
    <row r="6" spans="1:12">
      <c r="A6" s="33"/>
      <c r="B6" s="3" t="s">
        <v>15</v>
      </c>
      <c r="C6" s="4">
        <v>46238</v>
      </c>
      <c r="D6" s="5">
        <v>0</v>
      </c>
      <c r="E6" s="34"/>
      <c r="F6" s="6">
        <f>IF(E5=0,0,D6/E5)</f>
        <v>0</v>
      </c>
      <c r="G6" s="35"/>
      <c r="H6" s="36"/>
      <c r="I6" s="36"/>
      <c r="J6" s="5">
        <v>0.87</v>
      </c>
      <c r="K6" s="6">
        <f>2.52/J6*I5</f>
        <v>110.06896551724138</v>
      </c>
      <c r="L6" s="7"/>
    </row>
    <row r="7" spans="1:12">
      <c r="A7" s="8" t="s">
        <v>16</v>
      </c>
      <c r="B7" s="3" t="s">
        <v>15</v>
      </c>
      <c r="C7" s="4">
        <v>46198</v>
      </c>
      <c r="D7" s="5">
        <v>1480</v>
      </c>
      <c r="E7" s="9">
        <v>8</v>
      </c>
      <c r="F7" s="6">
        <f>IF(E7=0,0,D7/E7)</f>
        <v>185</v>
      </c>
      <c r="G7" s="10">
        <f>IF(E7=0,0,SUMPRODUCT(F7:F7,J7:J7)/(I7*2.52))</f>
        <v>1.7741402116402116</v>
      </c>
      <c r="H7" s="11">
        <f>G7*I7*E7</f>
        <v>510.95238095238096</v>
      </c>
      <c r="I7" s="11">
        <v>36</v>
      </c>
      <c r="J7" s="5">
        <v>0.87</v>
      </c>
      <c r="K7" s="6">
        <f>2.52/J7*I7</f>
        <v>104.27586206896552</v>
      </c>
      <c r="L7" s="7">
        <f>E7*I7</f>
        <v>288</v>
      </c>
    </row>
    <row r="8" spans="1:12">
      <c r="A8" s="8" t="s">
        <v>17</v>
      </c>
      <c r="B8" s="3" t="s">
        <v>18</v>
      </c>
      <c r="C8" s="4">
        <v>46230</v>
      </c>
      <c r="D8" s="5">
        <v>1290</v>
      </c>
      <c r="E8" s="9">
        <v>8</v>
      </c>
      <c r="F8" s="6">
        <f>IF(E8=0,0,D8/E8)</f>
        <v>161.25</v>
      </c>
      <c r="G8" s="10">
        <f>IF(E8=0,0,SUMPRODUCT(F8:F8,J8:J8)/(I8*2.52))</f>
        <v>1.5108300264550265</v>
      </c>
      <c r="H8" s="11">
        <f>G8*I8*E8</f>
        <v>435.11904761904765</v>
      </c>
      <c r="I8" s="11">
        <v>36</v>
      </c>
      <c r="J8" s="5">
        <v>0.85</v>
      </c>
      <c r="K8" s="6">
        <f>2.52/J8*I8</f>
        <v>106.72941176470589</v>
      </c>
      <c r="L8" s="7">
        <f>E8*I8</f>
        <v>288</v>
      </c>
    </row>
    <row r="9" spans="1:12">
      <c r="A9" s="8" t="s">
        <v>19</v>
      </c>
      <c r="B9" s="3" t="s">
        <v>15</v>
      </c>
      <c r="C9" s="4">
        <v>46219</v>
      </c>
      <c r="D9" s="5">
        <v>1537</v>
      </c>
      <c r="E9" s="9">
        <v>8</v>
      </c>
      <c r="F9" s="6">
        <f>IF(E9=0,0,D9/E9)</f>
        <v>192.125</v>
      </c>
      <c r="G9" s="10">
        <f>IF(E9=0,0,SUMPRODUCT(F9:F9,J9:J9)/(I9*2.52))</f>
        <v>1.895110544217687</v>
      </c>
      <c r="H9" s="11">
        <f>G9*I9*E9</f>
        <v>530.63095238095241</v>
      </c>
      <c r="I9" s="11">
        <v>35</v>
      </c>
      <c r="J9" s="5">
        <v>0.87</v>
      </c>
      <c r="K9" s="6">
        <f>2.52/J9*I9</f>
        <v>101.37931034482759</v>
      </c>
      <c r="L9" s="7">
        <f>E9*I9</f>
        <v>280</v>
      </c>
    </row>
    <row r="10" spans="1:12">
      <c r="A10" s="8" t="s">
        <v>20</v>
      </c>
      <c r="B10" s="3" t="s">
        <v>21</v>
      </c>
      <c r="C10" s="4">
        <v>46213</v>
      </c>
      <c r="D10" s="5">
        <v>749</v>
      </c>
      <c r="E10" s="9">
        <v>8</v>
      </c>
      <c r="F10" s="6">
        <f>IF(E10=0,0,D10/E10)</f>
        <v>93.625</v>
      </c>
      <c r="G10" s="10">
        <f>IF(E10=0,0,SUMPRODUCT(F10:F10,J10:J10)/(I10*2.52))</f>
        <v>2.1148504273504276</v>
      </c>
      <c r="H10" s="11">
        <f>G10*I10*E10</f>
        <v>659.83333333333337</v>
      </c>
      <c r="I10" s="11">
        <v>39</v>
      </c>
      <c r="J10" s="5">
        <v>2.2200000000000002</v>
      </c>
      <c r="K10" s="6">
        <f>2.52/J10*I10</f>
        <v>44.270270270270267</v>
      </c>
      <c r="L10" s="7">
        <f>E10*I10</f>
        <v>312</v>
      </c>
    </row>
    <row r="11" spans="1:12">
      <c r="A11" s="33" t="s">
        <v>22</v>
      </c>
      <c r="B11" s="3" t="s">
        <v>21</v>
      </c>
      <c r="C11" s="4">
        <v>46207</v>
      </c>
      <c r="D11" s="5">
        <v>704</v>
      </c>
      <c r="E11" s="34">
        <v>8</v>
      </c>
      <c r="F11" s="6">
        <f>IF(E11=0,0,D11/E11)</f>
        <v>88</v>
      </c>
      <c r="G11" s="35">
        <f>IF(E11=0,0,SUMPRODUCT(F11:F12,J11:J12)/(I11*2.52))</f>
        <v>2.0911393065998327</v>
      </c>
      <c r="H11" s="36">
        <f>G11*I11*E11</f>
        <v>635.70634920634916</v>
      </c>
      <c r="I11" s="36">
        <v>38</v>
      </c>
      <c r="J11" s="5">
        <v>2.2200000000000002</v>
      </c>
      <c r="K11" s="6">
        <f>2.52/J11*I11</f>
        <v>43.13513513513513</v>
      </c>
      <c r="L11" s="7">
        <f>E11*I11</f>
        <v>304</v>
      </c>
    </row>
    <row r="12" spans="1:12">
      <c r="A12" s="33"/>
      <c r="B12" s="3" t="s">
        <v>21</v>
      </c>
      <c r="C12" s="4">
        <v>46207</v>
      </c>
      <c r="D12" s="5">
        <v>17</v>
      </c>
      <c r="E12" s="34"/>
      <c r="F12" s="6">
        <f>IF(E11=0,0,D12/E11)</f>
        <v>2.125</v>
      </c>
      <c r="G12" s="35"/>
      <c r="H12" s="36"/>
      <c r="I12" s="36"/>
      <c r="J12" s="5">
        <v>2.2999999999999998</v>
      </c>
      <c r="K12" s="6">
        <f>2.52/J12*I11</f>
        <v>41.634782608695659</v>
      </c>
      <c r="L12" s="7"/>
    </row>
    <row r="13" spans="1:12">
      <c r="A13" s="8" t="s">
        <v>23</v>
      </c>
      <c r="B13" s="3" t="s">
        <v>24</v>
      </c>
      <c r="C13" s="4">
        <v>46237</v>
      </c>
      <c r="D13" s="5">
        <v>652</v>
      </c>
      <c r="E13" s="9">
        <v>8</v>
      </c>
      <c r="F13" s="6">
        <f>IF(E13=0,0,D13/E13)</f>
        <v>81.5</v>
      </c>
      <c r="G13" s="10">
        <f>IF(E13=0,0,SUMPRODUCT(F13:F13,J13:J13)/(I13*2.52))</f>
        <v>1.5121728871728872</v>
      </c>
      <c r="H13" s="11">
        <f>G13*I13*E13</f>
        <v>447.60317460317464</v>
      </c>
      <c r="I13" s="11">
        <v>37</v>
      </c>
      <c r="J13" s="5">
        <v>1.73</v>
      </c>
      <c r="K13" s="6">
        <f>2.52/J13*I13</f>
        <v>53.895953757225428</v>
      </c>
      <c r="L13" s="7">
        <f>E13*I13</f>
        <v>296</v>
      </c>
    </row>
    <row r="14" spans="1:12">
      <c r="A14" s="33" t="s">
        <v>25</v>
      </c>
      <c r="B14" s="3" t="s">
        <v>26</v>
      </c>
      <c r="C14" s="4">
        <v>46219</v>
      </c>
      <c r="D14" s="5">
        <v>21</v>
      </c>
      <c r="E14" s="34">
        <v>8</v>
      </c>
      <c r="F14" s="6">
        <f>IF(E14=0,0,D14/E14)</f>
        <v>2.625</v>
      </c>
      <c r="G14" s="35">
        <f>IF(E14=0,0,SUMPRODUCT(F14:F15,J14:J15)/(I14*2.52))</f>
        <v>1.0227007469654528</v>
      </c>
      <c r="H14" s="36">
        <f>G14*I14*E14</f>
        <v>278.17460317460313</v>
      </c>
      <c r="I14" s="36">
        <v>34</v>
      </c>
      <c r="J14" s="5">
        <v>0.85</v>
      </c>
      <c r="K14" s="6">
        <f>2.52/J14*I14</f>
        <v>100.80000000000001</v>
      </c>
      <c r="L14" s="7">
        <f>E14*I14</f>
        <v>272</v>
      </c>
    </row>
    <row r="15" spans="1:12">
      <c r="A15" s="33"/>
      <c r="B15" s="3" t="s">
        <v>27</v>
      </c>
      <c r="C15" s="4">
        <v>46232</v>
      </c>
      <c r="D15" s="5">
        <v>1051</v>
      </c>
      <c r="E15" s="34"/>
      <c r="F15" s="6">
        <f>IF(E14=0,0,D15/E14)</f>
        <v>131.375</v>
      </c>
      <c r="G15" s="35"/>
      <c r="H15" s="36"/>
      <c r="I15" s="36"/>
      <c r="J15" s="5">
        <v>0.65</v>
      </c>
      <c r="K15" s="6">
        <f>2.52/J15*I14</f>
        <v>131.8153846153846</v>
      </c>
      <c r="L15" s="7"/>
    </row>
    <row r="16" spans="1:12">
      <c r="A16" s="33" t="s">
        <v>28</v>
      </c>
      <c r="B16" s="3" t="s">
        <v>29</v>
      </c>
      <c r="C16" s="4">
        <v>46191</v>
      </c>
      <c r="D16" s="5">
        <v>869</v>
      </c>
      <c r="E16" s="34">
        <v>8</v>
      </c>
      <c r="F16" s="6">
        <f>IF(E16=0,0,D16/E16)</f>
        <v>108.625</v>
      </c>
      <c r="G16" s="35">
        <f>IF(E16=0,0,SUMPRODUCT(F16:F17,J16:J17)/(I16*2.52))</f>
        <v>1.3308945105820105</v>
      </c>
      <c r="H16" s="36">
        <f>G16*I16*E16</f>
        <v>383.29761904761904</v>
      </c>
      <c r="I16" s="36">
        <v>36</v>
      </c>
      <c r="J16" s="5">
        <v>0.96</v>
      </c>
      <c r="K16" s="6">
        <f>2.52/J16*I16</f>
        <v>94.5</v>
      </c>
      <c r="L16" s="7">
        <f>E16*I16</f>
        <v>288</v>
      </c>
    </row>
    <row r="17" spans="1:12">
      <c r="A17" s="33"/>
      <c r="B17" s="3" t="s">
        <v>29</v>
      </c>
      <c r="C17" s="4">
        <v>46191</v>
      </c>
      <c r="D17" s="5">
        <v>133</v>
      </c>
      <c r="E17" s="34"/>
      <c r="F17" s="6">
        <f>IF(E16=0,0,D17/E16)</f>
        <v>16.625</v>
      </c>
      <c r="G17" s="35"/>
      <c r="H17" s="36"/>
      <c r="I17" s="36"/>
      <c r="J17" s="5">
        <v>0.99</v>
      </c>
      <c r="K17" s="6">
        <f>2.52/J17*I16</f>
        <v>91.63636363636364</v>
      </c>
      <c r="L17" s="7"/>
    </row>
    <row r="18" spans="1:12">
      <c r="A18" s="8" t="s">
        <v>30</v>
      </c>
      <c r="B18" s="3" t="s">
        <v>31</v>
      </c>
      <c r="C18" s="4">
        <v>46157</v>
      </c>
      <c r="D18" s="5">
        <v>1224</v>
      </c>
      <c r="E18" s="9">
        <v>8</v>
      </c>
      <c r="F18" s="6">
        <f>IF(E18=0,0,D18/E18)</f>
        <v>153</v>
      </c>
      <c r="G18" s="10">
        <f>IF(E18=0,0,SUMPRODUCT(F18:F18,J18:J18)/(I18*2.52))</f>
        <v>1.8681318681318682</v>
      </c>
      <c r="H18" s="11">
        <f>G18*I18*E18</f>
        <v>582.85714285714289</v>
      </c>
      <c r="I18" s="11">
        <v>39</v>
      </c>
      <c r="J18" s="5">
        <v>1.2</v>
      </c>
      <c r="K18" s="6">
        <f>2.52/J18*I18</f>
        <v>81.900000000000006</v>
      </c>
      <c r="L18" s="7">
        <f>E18*I18</f>
        <v>312</v>
      </c>
    </row>
    <row r="19" spans="1:12">
      <c r="A19" s="33" t="s">
        <v>32</v>
      </c>
      <c r="B19" s="3" t="s">
        <v>33</v>
      </c>
      <c r="C19" s="4">
        <v>46154</v>
      </c>
      <c r="D19" s="5">
        <v>700</v>
      </c>
      <c r="E19" s="34">
        <v>8</v>
      </c>
      <c r="F19" s="6">
        <f>IF(E19=0,0,D19/E19)</f>
        <v>87.5</v>
      </c>
      <c r="G19" s="35">
        <f>IF(E19=0,0,SUMPRODUCT(F19:F20,J19:J20)/(I19*2.52))</f>
        <v>2.2013758354218882</v>
      </c>
      <c r="H19" s="36">
        <f>G19*I19*E19</f>
        <v>669.21825396825398</v>
      </c>
      <c r="I19" s="36">
        <v>38</v>
      </c>
      <c r="J19" s="5">
        <v>2.33</v>
      </c>
      <c r="K19" s="6">
        <f>2.52/J19*I19</f>
        <v>41.098712446351925</v>
      </c>
      <c r="L19" s="7">
        <f>E19*I19</f>
        <v>304</v>
      </c>
    </row>
    <row r="20" spans="1:12">
      <c r="A20" s="33"/>
      <c r="B20" s="3" t="s">
        <v>33</v>
      </c>
      <c r="C20" s="4">
        <v>46154</v>
      </c>
      <c r="D20" s="5">
        <v>23</v>
      </c>
      <c r="E20" s="34"/>
      <c r="F20" s="6">
        <f>IF(E19=0,0,D20/E19)</f>
        <v>2.875</v>
      </c>
      <c r="G20" s="35"/>
      <c r="H20" s="36"/>
      <c r="I20" s="36"/>
      <c r="J20" s="5">
        <v>2.41</v>
      </c>
      <c r="K20" s="6">
        <f>2.52/J20*I19</f>
        <v>39.73443983402489</v>
      </c>
      <c r="L20" s="7"/>
    </row>
    <row r="21" spans="1:12">
      <c r="A21" s="8" t="s">
        <v>34</v>
      </c>
      <c r="B21" s="3" t="s">
        <v>35</v>
      </c>
      <c r="C21" s="4">
        <v>46235</v>
      </c>
      <c r="D21" s="5">
        <v>408</v>
      </c>
      <c r="E21" s="9">
        <v>8</v>
      </c>
      <c r="F21" s="6">
        <f>IF(E21=0,0,D21/E21)</f>
        <v>51</v>
      </c>
      <c r="G21" s="10">
        <f>IF(E21=0,0,SUMPRODUCT(F21:F21,J21:J21)/(I21*2.52))</f>
        <v>0.61779448621553879</v>
      </c>
      <c r="H21" s="11">
        <f>G21*I21*E21</f>
        <v>187.8095238095238</v>
      </c>
      <c r="I21" s="11">
        <v>38</v>
      </c>
      <c r="J21" s="5">
        <v>1.1599999999999999</v>
      </c>
      <c r="K21" s="6">
        <f t="shared" ref="K21:K29" si="0">2.52/J21*I21</f>
        <v>82.551724137931046</v>
      </c>
      <c r="L21" s="7">
        <f>E21*I21</f>
        <v>304</v>
      </c>
    </row>
    <row r="22" spans="1:12">
      <c r="A22" s="8" t="s">
        <v>36</v>
      </c>
      <c r="B22" s="3" t="s">
        <v>37</v>
      </c>
      <c r="C22" s="4">
        <v>46220</v>
      </c>
      <c r="D22" s="5">
        <v>769</v>
      </c>
      <c r="E22" s="9">
        <v>8</v>
      </c>
      <c r="F22" s="6">
        <f>IF(E22=0,0,D22/E22)</f>
        <v>96.125</v>
      </c>
      <c r="G22" s="10">
        <f>IF(E22=0,0,SUMPRODUCT(F22:F22,J22:J22)/(I22*2.52))</f>
        <v>1.5453551078551078</v>
      </c>
      <c r="H22" s="11">
        <f>G22*I22*E22</f>
        <v>482.15079365079362</v>
      </c>
      <c r="I22" s="11">
        <v>39</v>
      </c>
      <c r="J22" s="5">
        <v>1.58</v>
      </c>
      <c r="K22" s="6">
        <f t="shared" si="0"/>
        <v>62.202531645569614</v>
      </c>
      <c r="L22" s="7">
        <f>E22*I22</f>
        <v>312</v>
      </c>
    </row>
    <row r="23" spans="1:12">
      <c r="A23" s="8" t="s">
        <v>38</v>
      </c>
      <c r="B23" s="3" t="s">
        <v>39</v>
      </c>
      <c r="C23" s="4">
        <v>46192</v>
      </c>
      <c r="D23" s="5">
        <v>1224</v>
      </c>
      <c r="E23" s="9">
        <v>8</v>
      </c>
      <c r="F23" s="6">
        <f>IF(E23=0,0,D23/E23)</f>
        <v>153</v>
      </c>
      <c r="G23" s="10">
        <f>IF(E23=0,0,SUMPRODUCT(F23:F23,J23:J23)/(I23*2.52))</f>
        <v>2.0451127819548871</v>
      </c>
      <c r="H23" s="11">
        <f>G23*I23*E23</f>
        <v>621.71428571428567</v>
      </c>
      <c r="I23" s="11">
        <v>38</v>
      </c>
      <c r="J23" s="5">
        <v>1.28</v>
      </c>
      <c r="K23" s="6">
        <f t="shared" si="0"/>
        <v>74.8125</v>
      </c>
      <c r="L23" s="7">
        <f>E23*I23</f>
        <v>304</v>
      </c>
    </row>
    <row r="24" spans="1:12">
      <c r="A24" s="8" t="s">
        <v>40</v>
      </c>
      <c r="B24" s="3" t="s">
        <v>15</v>
      </c>
      <c r="C24" s="4">
        <v>46209</v>
      </c>
      <c r="D24" s="5">
        <v>1650</v>
      </c>
      <c r="E24" s="9">
        <v>8</v>
      </c>
      <c r="F24" s="6">
        <f>IF(E24=0,0,D24/E24)</f>
        <v>206.25</v>
      </c>
      <c r="G24" s="10">
        <f>IF(E24=0,0,SUMPRODUCT(F24:F24,J24:J24)/(I24*2.52))</f>
        <v>1.8738251879699248</v>
      </c>
      <c r="H24" s="11">
        <f>G24*I24*E24</f>
        <v>569.64285714285711</v>
      </c>
      <c r="I24" s="11">
        <v>38</v>
      </c>
      <c r="J24" s="5">
        <v>0.87</v>
      </c>
      <c r="K24" s="6">
        <f t="shared" si="0"/>
        <v>110.06896551724138</v>
      </c>
      <c r="L24" s="7">
        <f>E24*I24</f>
        <v>304</v>
      </c>
    </row>
    <row r="25" spans="1:12">
      <c r="A25" s="8" t="s">
        <v>41</v>
      </c>
      <c r="B25" s="3" t="s">
        <v>15</v>
      </c>
      <c r="C25" s="4">
        <v>46209</v>
      </c>
      <c r="D25" s="5">
        <v>1508</v>
      </c>
      <c r="E25" s="9">
        <v>8</v>
      </c>
      <c r="F25" s="6">
        <f>IF(E25=0,0,D25/E25)</f>
        <v>188.5</v>
      </c>
      <c r="G25" s="10">
        <f>IF(E25=0,0,SUMPRODUCT(F25:F25,J25:J25)/(I25*2.52))</f>
        <v>1.7125626566416039</v>
      </c>
      <c r="H25" s="11">
        <f>G25*I25*E25</f>
        <v>520.61904761904759</v>
      </c>
      <c r="I25" s="11">
        <v>38</v>
      </c>
      <c r="J25" s="5">
        <v>0.87</v>
      </c>
      <c r="K25" s="6">
        <f t="shared" si="0"/>
        <v>110.06896551724138</v>
      </c>
      <c r="L25" s="7">
        <f>E25*I25</f>
        <v>304</v>
      </c>
    </row>
    <row r="26" spans="1:12">
      <c r="A26" s="8" t="s">
        <v>42</v>
      </c>
      <c r="B26" s="3" t="s">
        <v>21</v>
      </c>
      <c r="C26" s="4">
        <v>46155</v>
      </c>
      <c r="D26" s="5">
        <v>701</v>
      </c>
      <c r="E26" s="9">
        <v>8</v>
      </c>
      <c r="F26" s="6">
        <f>IF(E26=0,0,D26/E26)</f>
        <v>87.625</v>
      </c>
      <c r="G26" s="10">
        <f>IF(E26=0,0,SUMPRODUCT(F26:F26,J26:J26)/(I26*2.52))</f>
        <v>2.03140664160401</v>
      </c>
      <c r="H26" s="11">
        <f>G26*I26*E26</f>
        <v>617.54761904761904</v>
      </c>
      <c r="I26" s="11">
        <v>38</v>
      </c>
      <c r="J26" s="5">
        <v>2.2200000000000002</v>
      </c>
      <c r="K26" s="6">
        <f t="shared" si="0"/>
        <v>43.13513513513513</v>
      </c>
      <c r="L26" s="7">
        <f>E26*I26</f>
        <v>304</v>
      </c>
    </row>
    <row r="27" spans="1:12">
      <c r="A27" s="8" t="s">
        <v>43</v>
      </c>
      <c r="B27" s="3" t="s">
        <v>15</v>
      </c>
      <c r="C27" s="4">
        <v>46219</v>
      </c>
      <c r="D27" s="5">
        <v>1502</v>
      </c>
      <c r="E27" s="9">
        <v>8</v>
      </c>
      <c r="F27" s="6">
        <f>IF(E27=0,0,D27/E27)</f>
        <v>187.75</v>
      </c>
      <c r="G27" s="10">
        <f>IF(E27=0,0,SUMPRODUCT(F27:F27,J27:J27)/(I27*2.52))</f>
        <v>1.6620115995115996</v>
      </c>
      <c r="H27" s="11">
        <f>G27*I27*E27</f>
        <v>518.54761904761904</v>
      </c>
      <c r="I27" s="11">
        <v>39</v>
      </c>
      <c r="J27" s="5">
        <v>0.87</v>
      </c>
      <c r="K27" s="6">
        <f t="shared" si="0"/>
        <v>112.96551724137932</v>
      </c>
      <c r="L27" s="7">
        <f>E27*I27</f>
        <v>312</v>
      </c>
    </row>
    <row r="28" spans="1:12">
      <c r="A28" s="8" t="s">
        <v>44</v>
      </c>
      <c r="B28" s="3" t="s">
        <v>15</v>
      </c>
      <c r="C28" s="4">
        <v>46192</v>
      </c>
      <c r="D28" s="5">
        <v>1680</v>
      </c>
      <c r="E28" s="9">
        <v>8</v>
      </c>
      <c r="F28" s="6">
        <f>IF(E28=0,0,D28/E28)</f>
        <v>210</v>
      </c>
      <c r="G28" s="10">
        <f>IF(E28=0,0,SUMPRODUCT(F28:F28,J28:J28)/(I28*2.52))</f>
        <v>1.8589743589743588</v>
      </c>
      <c r="H28" s="11">
        <f>G28*I28*E28</f>
        <v>580</v>
      </c>
      <c r="I28" s="11">
        <v>39</v>
      </c>
      <c r="J28" s="5">
        <v>0.87</v>
      </c>
      <c r="K28" s="6">
        <f t="shared" si="0"/>
        <v>112.96551724137932</v>
      </c>
      <c r="L28" s="7">
        <f>E28*I28</f>
        <v>312</v>
      </c>
    </row>
    <row r="29" spans="1:12">
      <c r="A29" s="33" t="s">
        <v>45</v>
      </c>
      <c r="B29" s="3" t="s">
        <v>46</v>
      </c>
      <c r="C29" s="4">
        <v>46219</v>
      </c>
      <c r="D29" s="5">
        <v>49</v>
      </c>
      <c r="E29" s="34">
        <v>8</v>
      </c>
      <c r="F29" s="6">
        <f>IF(E29=0,0,D29/E29)</f>
        <v>6.125</v>
      </c>
      <c r="G29" s="35">
        <f>IF(E29=0,0,SUMPRODUCT(F29:F30,J29:J30)/(I29*2.52))</f>
        <v>1.0015149077649077</v>
      </c>
      <c r="H29" s="36">
        <f>G29*I29*E29</f>
        <v>296.44841269841265</v>
      </c>
      <c r="I29" s="36">
        <v>37</v>
      </c>
      <c r="J29" s="5">
        <v>2.09</v>
      </c>
      <c r="K29" s="6">
        <f t="shared" si="0"/>
        <v>44.612440191387563</v>
      </c>
      <c r="L29" s="7">
        <f>E29*I29</f>
        <v>296</v>
      </c>
    </row>
    <row r="30" spans="1:12">
      <c r="A30" s="33"/>
      <c r="B30" s="3" t="s">
        <v>47</v>
      </c>
      <c r="C30" s="4">
        <v>46237</v>
      </c>
      <c r="D30" s="5">
        <v>816</v>
      </c>
      <c r="E30" s="34"/>
      <c r="F30" s="6">
        <f>IF(E29=0,0,D30/E29)</f>
        <v>102</v>
      </c>
      <c r="G30" s="35"/>
      <c r="H30" s="36"/>
      <c r="I30" s="36"/>
      <c r="J30" s="5">
        <v>0.79</v>
      </c>
      <c r="K30" s="6">
        <f>2.52/J30*I29</f>
        <v>118.02531645569618</v>
      </c>
      <c r="L30" s="7"/>
    </row>
    <row r="31" spans="1:12">
      <c r="A31" s="37" t="s">
        <v>48</v>
      </c>
      <c r="B31" s="38"/>
      <c r="C31" s="39"/>
      <c r="D31" s="12">
        <f>SUM(D5:D30)</f>
        <v>21223</v>
      </c>
      <c r="E31" s="13">
        <f>SUM(E5:E30)</f>
        <v>160</v>
      </c>
      <c r="F31" s="14"/>
      <c r="G31" s="15">
        <f>SUM(H5:H30)/L31</f>
        <v>1.6437632275132272</v>
      </c>
      <c r="H31" s="12"/>
      <c r="I31" s="12">
        <f>SUM(I5:I30)</f>
        <v>750</v>
      </c>
      <c r="J31" s="12"/>
      <c r="K31" s="14"/>
      <c r="L31" s="16">
        <f>SUM(L5:L30)</f>
        <v>6000</v>
      </c>
    </row>
    <row r="32" spans="1:12">
      <c r="A32" s="17"/>
      <c r="B32" s="5"/>
      <c r="C32" s="4"/>
      <c r="D32" s="5"/>
      <c r="E32" s="18"/>
      <c r="F32" s="6"/>
      <c r="G32" s="19"/>
      <c r="H32" s="5"/>
      <c r="I32" s="5"/>
      <c r="J32" s="5"/>
      <c r="K32" s="6"/>
      <c r="L32" s="7"/>
    </row>
    <row r="33" spans="1:12" ht="13.5" thickBot="1">
      <c r="A33" s="40" t="s">
        <v>49</v>
      </c>
      <c r="B33" s="41"/>
      <c r="C33" s="42"/>
      <c r="D33" s="20">
        <f>SUMIF(A5:A32, "&lt;&gt;Summary", D5:D32)</f>
        <v>21223</v>
      </c>
      <c r="E33" s="21">
        <f>SUMIF(A5:A32, "&lt;&gt;Summary", E5:E32)</f>
        <v>160</v>
      </c>
      <c r="F33" s="22"/>
      <c r="G33" s="23">
        <f>SUMIF(A5:A32, "&lt;&gt;Summary", H5:H32)/L33</f>
        <v>1.6437632275132272</v>
      </c>
      <c r="H33" s="20"/>
      <c r="I33" s="20">
        <f>SUMIF(A5:A32, "&lt;&gt;Summary", I5:I32)</f>
        <v>750</v>
      </c>
      <c r="J33" s="20"/>
      <c r="K33" s="22"/>
      <c r="L33" s="24">
        <f>SUMIF(A5:A32, "&lt;&gt;Summary", L5:L32)</f>
        <v>6000</v>
      </c>
    </row>
    <row r="34" spans="1:12" ht="13.5" thickTop="1"/>
    <row r="35" spans="1:12">
      <c r="C35" s="25" t="s">
        <v>50</v>
      </c>
      <c r="D35" s="26">
        <f>SUM(H5:H10)/SUM(L5:L10)</f>
        <v>1.678832923567978</v>
      </c>
    </row>
    <row r="36" spans="1:12">
      <c r="C36" s="25" t="s">
        <v>51</v>
      </c>
      <c r="D36" s="26">
        <f>SUM(H11:H18)/SUM(L11:L18)</f>
        <v>1.5812764190821256</v>
      </c>
    </row>
    <row r="37" spans="1:12">
      <c r="C37" s="25" t="s">
        <v>52</v>
      </c>
      <c r="D37" s="26">
        <f>SUM(H19:H24)/SUM(L19:L24)</f>
        <v>1.6561097606581903</v>
      </c>
    </row>
    <row r="38" spans="1:12">
      <c r="C38" s="25" t="s">
        <v>53</v>
      </c>
      <c r="D38" s="26">
        <f>SUM(H25:H30)/SUM(L25:L30)</f>
        <v>1.6578289911077866</v>
      </c>
    </row>
  </sheetData>
  <mergeCells count="44">
    <mergeCell ref="A31:C31"/>
    <mergeCell ref="A33:C33"/>
    <mergeCell ref="A19:A20"/>
    <mergeCell ref="E19:E20"/>
    <mergeCell ref="G19:G20"/>
    <mergeCell ref="H19:H20"/>
    <mergeCell ref="I19:I20"/>
    <mergeCell ref="A29:A30"/>
    <mergeCell ref="E29:E30"/>
    <mergeCell ref="G29:G30"/>
    <mergeCell ref="H29:H30"/>
    <mergeCell ref="I29:I30"/>
    <mergeCell ref="A14:A15"/>
    <mergeCell ref="E14:E15"/>
    <mergeCell ref="G14:G15"/>
    <mergeCell ref="H14:H15"/>
    <mergeCell ref="I14:I15"/>
    <mergeCell ref="A16:A17"/>
    <mergeCell ref="E16:E17"/>
    <mergeCell ref="G16:G17"/>
    <mergeCell ref="H16:H17"/>
    <mergeCell ref="I16:I17"/>
    <mergeCell ref="A5:A6"/>
    <mergeCell ref="E5:E6"/>
    <mergeCell ref="G5:G6"/>
    <mergeCell ref="H5:H6"/>
    <mergeCell ref="I5:I6"/>
    <mergeCell ref="A11:A12"/>
    <mergeCell ref="E11:E12"/>
    <mergeCell ref="G11:G12"/>
    <mergeCell ref="H11:H12"/>
    <mergeCell ref="I11:I12"/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</mergeCells>
  <printOptions horizontalCentered="1"/>
  <pageMargins left="0.2" right="0.2" top="1" bottom="0.2" header="0.2" footer="0.2"/>
  <pageSetup paperSize="9" scale="96" fitToHeight="999" orientation="landscape" verticalDpi="0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2026-08-05T00:51:25Z</cp:lastPrinted>
  <dcterms:created xsi:type="dcterms:W3CDTF">2026-08-05T00:36:45Z</dcterms:created>
  <dcterms:modified xsi:type="dcterms:W3CDTF">2026-08-05T02:43:15Z</dcterms:modified>
</cp:coreProperties>
</file>