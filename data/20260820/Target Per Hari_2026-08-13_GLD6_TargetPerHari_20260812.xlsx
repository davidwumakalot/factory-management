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50" windowWidth="21075" windowHeight="12345"/>
  </bookViews>
  <sheets>
    <sheet name="TargetPerHari" sheetId="1" r:id="rId1"/>
    <sheet name="Sheet2" sheetId="2" r:id="rId2"/>
    <sheet name="Sheet3" sheetId="3" r:id="rId3"/>
  </sheets>
  <definedNames>
    <definedName name="_xlnm.Print_Titles" localSheetId="0">TargetPerHari!$1:$4</definedName>
  </definedNames>
  <calcPr calcId="125725"/>
</workbook>
</file>

<file path=xl/calcChain.xml><?xml version="1.0" encoding="utf-8"?>
<calcChain xmlns="http://schemas.openxmlformats.org/spreadsheetml/2006/main">
  <c r="D53" i="1"/>
  <c r="D52"/>
  <c r="D51"/>
  <c r="D50"/>
  <c r="I47"/>
  <c r="E47"/>
  <c r="D47"/>
  <c r="I46"/>
  <c r="E46"/>
  <c r="D46"/>
  <c r="L45"/>
  <c r="K45"/>
  <c r="F45"/>
  <c r="G45" s="1"/>
  <c r="H45" s="1"/>
  <c r="L44"/>
  <c r="G44"/>
  <c r="H44" s="1"/>
  <c r="K44"/>
  <c r="F44"/>
  <c r="L43"/>
  <c r="K43"/>
  <c r="F43"/>
  <c r="G43" s="1"/>
  <c r="H43" s="1"/>
  <c r="L40"/>
  <c r="K42"/>
  <c r="F42"/>
  <c r="K41"/>
  <c r="F41"/>
  <c r="K40"/>
  <c r="F40"/>
  <c r="G40" s="1"/>
  <c r="H40" s="1"/>
  <c r="L39"/>
  <c r="K39"/>
  <c r="F39"/>
  <c r="G39" s="1"/>
  <c r="H39" s="1"/>
  <c r="L38"/>
  <c r="K38"/>
  <c r="F38"/>
  <c r="G38" s="1"/>
  <c r="H38" s="1"/>
  <c r="L35"/>
  <c r="K37"/>
  <c r="F37"/>
  <c r="K36"/>
  <c r="F36"/>
  <c r="K35"/>
  <c r="F35"/>
  <c r="G35" s="1"/>
  <c r="H35" s="1"/>
  <c r="L34"/>
  <c r="K34"/>
  <c r="F34"/>
  <c r="G34" s="1"/>
  <c r="H34" s="1"/>
  <c r="L32"/>
  <c r="K33"/>
  <c r="F33"/>
  <c r="K32"/>
  <c r="F32"/>
  <c r="G32" s="1"/>
  <c r="H32" s="1"/>
  <c r="L28"/>
  <c r="K31"/>
  <c r="F31"/>
  <c r="K30"/>
  <c r="F30"/>
  <c r="K29"/>
  <c r="F29"/>
  <c r="K28"/>
  <c r="F28"/>
  <c r="G28" s="1"/>
  <c r="H28" s="1"/>
  <c r="L26"/>
  <c r="K27"/>
  <c r="F27"/>
  <c r="K26"/>
  <c r="F26"/>
  <c r="L19"/>
  <c r="K25"/>
  <c r="F25"/>
  <c r="K24"/>
  <c r="F24"/>
  <c r="K23"/>
  <c r="F23"/>
  <c r="K22"/>
  <c r="F22"/>
  <c r="K21"/>
  <c r="F21"/>
  <c r="K20"/>
  <c r="F20"/>
  <c r="K19"/>
  <c r="F19"/>
  <c r="L15"/>
  <c r="K18"/>
  <c r="F18"/>
  <c r="K17"/>
  <c r="F17"/>
  <c r="K16"/>
  <c r="F16"/>
  <c r="K15"/>
  <c r="F15"/>
  <c r="L14"/>
  <c r="H14"/>
  <c r="G14"/>
  <c r="K14"/>
  <c r="F14"/>
  <c r="L13"/>
  <c r="L47" s="1"/>
  <c r="K13"/>
  <c r="F13"/>
  <c r="G13" s="1"/>
  <c r="H13" s="1"/>
  <c r="L12"/>
  <c r="K12"/>
  <c r="F12"/>
  <c r="G12" s="1"/>
  <c r="H12" s="1"/>
  <c r="L10"/>
  <c r="K11"/>
  <c r="F11"/>
  <c r="K10"/>
  <c r="F10"/>
  <c r="L9"/>
  <c r="K9"/>
  <c r="F9"/>
  <c r="G9" s="1"/>
  <c r="H9" s="1"/>
  <c r="L6"/>
  <c r="K8"/>
  <c r="F8"/>
  <c r="K7"/>
  <c r="F7"/>
  <c r="K6"/>
  <c r="F6"/>
  <c r="L5"/>
  <c r="K5"/>
  <c r="F5"/>
  <c r="G5" s="1"/>
  <c r="H5" s="1"/>
  <c r="G6" l="1"/>
  <c r="H6" s="1"/>
  <c r="G10"/>
  <c r="H10" s="1"/>
  <c r="G15"/>
  <c r="H15" s="1"/>
  <c r="G26"/>
  <c r="H26" s="1"/>
  <c r="L46"/>
  <c r="G19"/>
  <c r="H19" s="1"/>
  <c r="G46" s="1"/>
  <c r="G47"/>
</calcChain>
</file>

<file path=xl/sharedStrings.xml><?xml version="1.0" encoding="utf-8"?>
<sst xmlns="http://schemas.openxmlformats.org/spreadsheetml/2006/main" count="80" uniqueCount="62">
  <si>
    <t>Date :</t>
  </si>
  <si>
    <t>Line</t>
  </si>
  <si>
    <t>Style</t>
  </si>
  <si>
    <t>Layout (Sewing In Pertama Hari)</t>
  </si>
  <si>
    <t>pcs/hari</t>
  </si>
  <si>
    <t>JKK</t>
  </si>
  <si>
    <t>pcs/jam</t>
  </si>
  <si>
    <t>prosentase</t>
  </si>
  <si>
    <t>EFF%</t>
  </si>
  <si>
    <t>Persons</t>
  </si>
  <si>
    <t>IE</t>
  </si>
  <si>
    <t>STD output</t>
  </si>
  <si>
    <t>Ttl Hours</t>
  </si>
  <si>
    <t>6-01</t>
  </si>
  <si>
    <t>1182430_HO26_HT</t>
  </si>
  <si>
    <t>6-02</t>
  </si>
  <si>
    <t>G917K0_C426</t>
  </si>
  <si>
    <t>6-03</t>
  </si>
  <si>
    <t>CPW264TL38</t>
  </si>
  <si>
    <t>6-04</t>
  </si>
  <si>
    <t>766362_HO26</t>
  </si>
  <si>
    <t>6-05</t>
  </si>
  <si>
    <t>6-06</t>
  </si>
  <si>
    <t>777362_VMI</t>
  </si>
  <si>
    <t>6-07</t>
  </si>
  <si>
    <t>CPM263PA05_26Q4</t>
  </si>
  <si>
    <t>6-08</t>
  </si>
  <si>
    <t>766362_V1</t>
  </si>
  <si>
    <t>6-09</t>
  </si>
  <si>
    <t>W9ZMM8_7PK_C426/1-Panties</t>
  </si>
  <si>
    <t>W9ZMM8_7PK_C426/2-Panties</t>
  </si>
  <si>
    <t>W9ZMM8_7PK_C426/3-Panties</t>
  </si>
  <si>
    <t>W9ZMM8_7PK_C426/4-Panties</t>
  </si>
  <si>
    <t>W9ZMM8_7PK_C426/5-Panties</t>
  </si>
  <si>
    <t>W9ZMM8_7PK_C426/6-Panties</t>
  </si>
  <si>
    <t>W9ZMM8_7PK_C426/7-Panties</t>
  </si>
  <si>
    <t>6-10</t>
  </si>
  <si>
    <t>1184403_HO26</t>
  </si>
  <si>
    <t>1182719_HO26</t>
  </si>
  <si>
    <t>6-11</t>
  </si>
  <si>
    <t>MRLPMM_C426</t>
  </si>
  <si>
    <t>6-12</t>
  </si>
  <si>
    <t>910047_HO26DIS</t>
  </si>
  <si>
    <t>X25413_C426</t>
  </si>
  <si>
    <t>6-13</t>
  </si>
  <si>
    <t>1182723_HO26</t>
  </si>
  <si>
    <t>6-14</t>
  </si>
  <si>
    <t>G9M018_C426</t>
  </si>
  <si>
    <t>00GG4Z_C127IND</t>
  </si>
  <si>
    <t>6-15</t>
  </si>
  <si>
    <t>CPM263TL32_26Q4</t>
  </si>
  <si>
    <t>6-16</t>
  </si>
  <si>
    <t>6-17</t>
  </si>
  <si>
    <t>6-18</t>
  </si>
  <si>
    <t>6-19</t>
  </si>
  <si>
    <t>6-20</t>
  </si>
  <si>
    <t>Summary</t>
  </si>
  <si>
    <t>Grand Total</t>
  </si>
  <si>
    <t>LINE 1-5</t>
  </si>
  <si>
    <t>LINE 6-10</t>
  </si>
  <si>
    <t>LINE 11-15</t>
  </si>
  <si>
    <t>LINE 16-20</t>
  </si>
</sst>
</file>

<file path=xl/styles.xml><?xml version="1.0" encoding="utf-8"?>
<styleSheet xmlns="http://schemas.openxmlformats.org/spreadsheetml/2006/main">
  <numFmts count="4">
    <numFmt numFmtId="164" formatCode="[$-409]dd\-mmm\-yyyy;@"/>
    <numFmt numFmtId="165" formatCode="0.00_ "/>
    <numFmt numFmtId="166" formatCode="0_ "/>
    <numFmt numFmtId="167" formatCode="0.0%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0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2" fillId="0" borderId="0" xfId="0" applyFont="1"/>
    <xf numFmtId="164" fontId="2" fillId="0" borderId="0" xfId="0" applyNumberFormat="1" applyFont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/>
    </xf>
    <xf numFmtId="49" fontId="2" fillId="0" borderId="5" xfId="0" applyNumberFormat="1" applyFont="1" applyBorder="1"/>
    <xf numFmtId="164" fontId="2" fillId="0" borderId="5" xfId="0" applyNumberFormat="1" applyFont="1" applyBorder="1"/>
    <xf numFmtId="0" fontId="2" fillId="0" borderId="5" xfId="0" applyFont="1" applyBorder="1"/>
    <xf numFmtId="165" fontId="2" fillId="0" borderId="5" xfId="0" applyNumberFormat="1" applyFont="1" applyBorder="1" applyAlignment="1">
      <alignment horizontal="center" vertical="center"/>
    </xf>
    <xf numFmtId="166" fontId="2" fillId="0" borderId="5" xfId="0" applyNumberFormat="1" applyFont="1" applyBorder="1"/>
    <xf numFmtId="167" fontId="2" fillId="0" borderId="5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/>
    <xf numFmtId="49" fontId="2" fillId="0" borderId="4" xfId="0" applyNumberFormat="1" applyFont="1" applyBorder="1" applyAlignment="1">
      <alignment horizontal="center" vertical="center"/>
    </xf>
    <xf numFmtId="165" fontId="2" fillId="0" borderId="5" xfId="0" applyNumberFormat="1" applyFont="1" applyBorder="1" applyAlignment="1">
      <alignment horizontal="center" vertical="center"/>
    </xf>
    <xf numFmtId="167" fontId="2" fillId="0" borderId="5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6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/>
    <xf numFmtId="165" fontId="3" fillId="2" borderId="5" xfId="0" applyNumberFormat="1" applyFont="1" applyFill="1" applyBorder="1"/>
    <xf numFmtId="166" fontId="3" fillId="2" borderId="5" xfId="0" applyNumberFormat="1" applyFont="1" applyFill="1" applyBorder="1"/>
    <xf numFmtId="167" fontId="3" fillId="2" borderId="5" xfId="0" applyNumberFormat="1" applyFont="1" applyFill="1" applyBorder="1"/>
    <xf numFmtId="0" fontId="3" fillId="2" borderId="6" xfId="0" applyFont="1" applyFill="1" applyBorder="1"/>
    <xf numFmtId="0" fontId="3" fillId="0" borderId="0" xfId="0" applyFont="1"/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164" fontId="3" fillId="2" borderId="8" xfId="0" applyNumberFormat="1" applyFont="1" applyFill="1" applyBorder="1" applyAlignment="1">
      <alignment horizontal="center" vertical="center"/>
    </xf>
    <xf numFmtId="0" fontId="3" fillId="2" borderId="8" xfId="0" applyFont="1" applyFill="1" applyBorder="1"/>
    <xf numFmtId="165" fontId="3" fillId="2" borderId="8" xfId="0" applyNumberFormat="1" applyFont="1" applyFill="1" applyBorder="1"/>
    <xf numFmtId="166" fontId="3" fillId="2" borderId="8" xfId="0" applyNumberFormat="1" applyFont="1" applyFill="1" applyBorder="1"/>
    <xf numFmtId="167" fontId="3" fillId="2" borderId="8" xfId="0" applyNumberFormat="1" applyFont="1" applyFill="1" applyBorder="1"/>
    <xf numFmtId="0" fontId="3" fillId="2" borderId="9" xfId="0" applyFont="1" applyFill="1" applyBorder="1"/>
    <xf numFmtId="10" fontId="3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3"/>
  <sheetViews>
    <sheetView tabSelected="1" workbookViewId="0">
      <pane ySplit="4" topLeftCell="A5" activePane="bottomLeft" state="frozen"/>
      <selection pane="bottomLeft" activeCell="G53" sqref="G53"/>
    </sheetView>
  </sheetViews>
  <sheetFormatPr defaultRowHeight="12.75"/>
  <cols>
    <col min="1" max="1" width="10.7109375" style="1" customWidth="1"/>
    <col min="2" max="2" width="16.7109375" style="1" customWidth="1"/>
    <col min="3" max="3" width="12.7109375" style="1" customWidth="1"/>
    <col min="4" max="8" width="8.7109375" style="1" customWidth="1"/>
    <col min="9" max="16384" width="9.140625" style="1"/>
  </cols>
  <sheetData>
    <row r="1" spans="1:12">
      <c r="A1" s="1" t="s">
        <v>0</v>
      </c>
      <c r="B1" s="2">
        <v>46246</v>
      </c>
    </row>
    <row r="2" spans="1:12" ht="13.5" thickBot="1"/>
    <row r="3" spans="1:12" ht="13.5" thickTop="1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5" t="s">
        <v>12</v>
      </c>
    </row>
    <row r="4" spans="1:12">
      <c r="A4" s="6"/>
      <c r="B4" s="7"/>
      <c r="C4" s="7"/>
      <c r="D4" s="7"/>
      <c r="E4" s="7"/>
      <c r="F4" s="7"/>
      <c r="G4" s="7"/>
      <c r="H4" s="7"/>
      <c r="I4" s="7"/>
      <c r="J4" s="7"/>
      <c r="K4" s="7"/>
      <c r="L4" s="8"/>
    </row>
    <row r="5" spans="1:12">
      <c r="A5" s="9" t="s">
        <v>13</v>
      </c>
      <c r="B5" s="10" t="s">
        <v>14</v>
      </c>
      <c r="C5" s="11">
        <v>46228</v>
      </c>
      <c r="D5" s="12">
        <v>1252</v>
      </c>
      <c r="E5" s="13">
        <v>8</v>
      </c>
      <c r="F5" s="14">
        <f>IF(E5=0,0,D5/E5)</f>
        <v>156.5</v>
      </c>
      <c r="G5" s="15">
        <f>IF(E5=0,0,SUMPRODUCT(F5:F5,J5:J5)/(I5*2.52))</f>
        <v>1.274749373433584</v>
      </c>
      <c r="H5" s="16">
        <f>G5*I5*E5</f>
        <v>387.52380952380952</v>
      </c>
      <c r="I5" s="16">
        <v>38</v>
      </c>
      <c r="J5" s="12">
        <v>0.78</v>
      </c>
      <c r="K5" s="14">
        <f>2.52/J5*I5</f>
        <v>122.76923076923077</v>
      </c>
      <c r="L5" s="17">
        <f>E5*I5</f>
        <v>304</v>
      </c>
    </row>
    <row r="6" spans="1:12">
      <c r="A6" s="18" t="s">
        <v>15</v>
      </c>
      <c r="B6" s="10" t="s">
        <v>16</v>
      </c>
      <c r="C6" s="11">
        <v>46176</v>
      </c>
      <c r="D6" s="12">
        <v>471</v>
      </c>
      <c r="E6" s="19">
        <v>8</v>
      </c>
      <c r="F6" s="14">
        <f>IF(E6=0,0,D6/E6)</f>
        <v>58.875</v>
      </c>
      <c r="G6" s="20">
        <f>IF(E6=0,0,SUMPRODUCT(F6:F8,J6:J8)/(I6*2.52))</f>
        <v>2.2670918367346942</v>
      </c>
      <c r="H6" s="21">
        <f>G6*I6*E6</f>
        <v>634.78571428571433</v>
      </c>
      <c r="I6" s="21">
        <v>35</v>
      </c>
      <c r="J6" s="12">
        <v>1.25</v>
      </c>
      <c r="K6" s="14">
        <f>2.52/J6*I6</f>
        <v>70.56</v>
      </c>
      <c r="L6" s="17">
        <f>E6*I6</f>
        <v>280</v>
      </c>
    </row>
    <row r="7" spans="1:12">
      <c r="A7" s="18"/>
      <c r="B7" s="10" t="s">
        <v>16</v>
      </c>
      <c r="C7" s="11">
        <v>46176</v>
      </c>
      <c r="D7" s="12">
        <v>541</v>
      </c>
      <c r="E7" s="19"/>
      <c r="F7" s="14">
        <f>IF(E6=0,0,D7/E6)</f>
        <v>67.625</v>
      </c>
      <c r="G7" s="20"/>
      <c r="H7" s="21"/>
      <c r="I7" s="21"/>
      <c r="J7" s="12">
        <v>1.27</v>
      </c>
      <c r="K7" s="14">
        <f>2.52/J7*I6</f>
        <v>69.448818897637793</v>
      </c>
      <c r="L7" s="17"/>
    </row>
    <row r="8" spans="1:12">
      <c r="A8" s="18"/>
      <c r="B8" s="10" t="s">
        <v>16</v>
      </c>
      <c r="C8" s="11">
        <v>46176</v>
      </c>
      <c r="D8" s="12">
        <v>253</v>
      </c>
      <c r="E8" s="19"/>
      <c r="F8" s="14">
        <f>IF(E6=0,0,D8/E6)</f>
        <v>31.625</v>
      </c>
      <c r="G8" s="20"/>
      <c r="H8" s="21"/>
      <c r="I8" s="21"/>
      <c r="J8" s="12">
        <v>1.28</v>
      </c>
      <c r="K8" s="14">
        <f>2.52/J8*I6</f>
        <v>68.90625</v>
      </c>
      <c r="L8" s="17"/>
    </row>
    <row r="9" spans="1:12">
      <c r="A9" s="9" t="s">
        <v>17</v>
      </c>
      <c r="B9" s="10" t="s">
        <v>18</v>
      </c>
      <c r="C9" s="11">
        <v>46224</v>
      </c>
      <c r="D9" s="12">
        <v>1407</v>
      </c>
      <c r="E9" s="13">
        <v>8</v>
      </c>
      <c r="F9" s="14">
        <f>IF(E9=0,0,D9/E9)</f>
        <v>175.875</v>
      </c>
      <c r="G9" s="15">
        <f>IF(E9=0,0,SUMPRODUCT(F9:F9,J9:J9)/(I9*2.52))</f>
        <v>1.6976351351351351</v>
      </c>
      <c r="H9" s="16">
        <f>G9*I9*E9</f>
        <v>502.5</v>
      </c>
      <c r="I9" s="16">
        <v>37</v>
      </c>
      <c r="J9" s="12">
        <v>0.9</v>
      </c>
      <c r="K9" s="14">
        <f>2.52/J9*I9</f>
        <v>103.6</v>
      </c>
      <c r="L9" s="17">
        <f>E9*I9</f>
        <v>296</v>
      </c>
    </row>
    <row r="10" spans="1:12">
      <c r="A10" s="18" t="s">
        <v>19</v>
      </c>
      <c r="B10" s="10" t="s">
        <v>20</v>
      </c>
      <c r="C10" s="11">
        <v>46203</v>
      </c>
      <c r="D10" s="12">
        <v>584</v>
      </c>
      <c r="E10" s="19">
        <v>8</v>
      </c>
      <c r="F10" s="14">
        <f>IF(E10=0,0,D10/E10)</f>
        <v>73</v>
      </c>
      <c r="G10" s="20">
        <f>IF(E10=0,0,SUMPRODUCT(F10:F11,J10:J11)/(I10*2.52))</f>
        <v>1.4199039264828737</v>
      </c>
      <c r="H10" s="21">
        <f>G10*I10*E10</f>
        <v>431.65079365079362</v>
      </c>
      <c r="I10" s="21">
        <v>38</v>
      </c>
      <c r="J10" s="12">
        <v>0.85</v>
      </c>
      <c r="K10" s="14">
        <f>2.52/J10*I10</f>
        <v>112.65882352941176</v>
      </c>
      <c r="L10" s="17">
        <f>E10*I10</f>
        <v>304</v>
      </c>
    </row>
    <row r="11" spans="1:12">
      <c r="A11" s="18"/>
      <c r="B11" s="10" t="s">
        <v>20</v>
      </c>
      <c r="C11" s="11">
        <v>46203</v>
      </c>
      <c r="D11" s="12">
        <v>672</v>
      </c>
      <c r="E11" s="19"/>
      <c r="F11" s="14">
        <f>IF(E10=0,0,D11/E10)</f>
        <v>84</v>
      </c>
      <c r="G11" s="20"/>
      <c r="H11" s="21"/>
      <c r="I11" s="21"/>
      <c r="J11" s="12">
        <v>0.88</v>
      </c>
      <c r="K11" s="14">
        <f>2.52/J11*I10</f>
        <v>108.81818181818183</v>
      </c>
      <c r="L11" s="17"/>
    </row>
    <row r="12" spans="1:12">
      <c r="A12" s="9" t="s">
        <v>21</v>
      </c>
      <c r="B12" s="10" t="s">
        <v>18</v>
      </c>
      <c r="C12" s="11">
        <v>46232</v>
      </c>
      <c r="D12" s="12">
        <v>1439</v>
      </c>
      <c r="E12" s="13">
        <v>8</v>
      </c>
      <c r="F12" s="14">
        <f>IF(E12=0,0,D12/E12)</f>
        <v>179.875</v>
      </c>
      <c r="G12" s="15">
        <f>IF(E12=0,0,SUMPRODUCT(F12:F12,J12:J12)/(I12*2.52))</f>
        <v>1.7844742063492065</v>
      </c>
      <c r="H12" s="16">
        <f>G12*I12*E12</f>
        <v>513.92857142857144</v>
      </c>
      <c r="I12" s="16">
        <v>36</v>
      </c>
      <c r="J12" s="12">
        <v>0.9</v>
      </c>
      <c r="K12" s="14">
        <f>2.52/J12*I12</f>
        <v>100.8</v>
      </c>
      <c r="L12" s="17">
        <f>E12*I12</f>
        <v>288</v>
      </c>
    </row>
    <row r="13" spans="1:12">
      <c r="A13" s="9" t="s">
        <v>22</v>
      </c>
      <c r="B13" s="10" t="s">
        <v>23</v>
      </c>
      <c r="C13" s="11">
        <v>46122</v>
      </c>
      <c r="D13" s="12">
        <v>1400</v>
      </c>
      <c r="E13" s="13">
        <v>8</v>
      </c>
      <c r="F13" s="14">
        <f>IF(E13=0,0,D13/E13)</f>
        <v>175</v>
      </c>
      <c r="G13" s="15">
        <f>IF(E13=0,0,SUMPRODUCT(F13:F13,J13:J13)/(I13*2.52))</f>
        <v>2.0833333333333335</v>
      </c>
      <c r="H13" s="16">
        <f>G13*I13*E13</f>
        <v>583.33333333333337</v>
      </c>
      <c r="I13" s="16">
        <v>35</v>
      </c>
      <c r="J13" s="12">
        <v>1.05</v>
      </c>
      <c r="K13" s="14">
        <f>2.52/J13*I13</f>
        <v>84</v>
      </c>
      <c r="L13" s="17">
        <f>E13*I13</f>
        <v>280</v>
      </c>
    </row>
    <row r="14" spans="1:12">
      <c r="A14" s="9" t="s">
        <v>24</v>
      </c>
      <c r="B14" s="10" t="s">
        <v>25</v>
      </c>
      <c r="C14" s="11">
        <v>46225</v>
      </c>
      <c r="D14" s="12">
        <v>1163</v>
      </c>
      <c r="E14" s="13">
        <v>9</v>
      </c>
      <c r="F14" s="14">
        <f>IF(E14=0,0,D14/E14)</f>
        <v>129.22222222222223</v>
      </c>
      <c r="G14" s="15">
        <f>IF(E14=0,0,SUMPRODUCT(F14:F14,J14:J14)/(I14*2.52))</f>
        <v>1.6769507602840936</v>
      </c>
      <c r="H14" s="16">
        <f>G14*I14*E14</f>
        <v>558.42460317460313</v>
      </c>
      <c r="I14" s="16">
        <v>37</v>
      </c>
      <c r="J14" s="12">
        <v>1.21</v>
      </c>
      <c r="K14" s="14">
        <f>2.52/J14*I14</f>
        <v>77.057851239669432</v>
      </c>
      <c r="L14" s="17">
        <f>E14*I14</f>
        <v>333</v>
      </c>
    </row>
    <row r="15" spans="1:12">
      <c r="A15" s="18" t="s">
        <v>26</v>
      </c>
      <c r="B15" s="10" t="s">
        <v>27</v>
      </c>
      <c r="C15" s="11">
        <v>46179</v>
      </c>
      <c r="D15" s="12">
        <v>34</v>
      </c>
      <c r="E15" s="19">
        <v>8</v>
      </c>
      <c r="F15" s="14">
        <f>IF(E15=0,0,D15/E15)</f>
        <v>4.25</v>
      </c>
      <c r="G15" s="20">
        <f>IF(E15=0,0,SUMPRODUCT(F15:F18,J15:J18)/(I15*2.52))</f>
        <v>1.7345827970827969</v>
      </c>
      <c r="H15" s="21">
        <f>G15*I15*E15</f>
        <v>513.43650793650795</v>
      </c>
      <c r="I15" s="21">
        <v>37</v>
      </c>
      <c r="J15" s="12">
        <v>0.85</v>
      </c>
      <c r="K15" s="14">
        <f>2.52/J15*I15</f>
        <v>109.69411764705883</v>
      </c>
      <c r="L15" s="17">
        <f>E15*I15</f>
        <v>296</v>
      </c>
    </row>
    <row r="16" spans="1:12">
      <c r="A16" s="18"/>
      <c r="B16" s="10" t="s">
        <v>27</v>
      </c>
      <c r="C16" s="11">
        <v>46179</v>
      </c>
      <c r="D16" s="12">
        <v>20</v>
      </c>
      <c r="E16" s="19"/>
      <c r="F16" s="14">
        <f>IF(E15=0,0,D16/E15)</f>
        <v>2.5</v>
      </c>
      <c r="G16" s="20"/>
      <c r="H16" s="21"/>
      <c r="I16" s="21"/>
      <c r="J16" s="12">
        <v>0.88</v>
      </c>
      <c r="K16" s="14">
        <f>2.52/J16*I15</f>
        <v>105.95454545454545</v>
      </c>
      <c r="L16" s="17"/>
    </row>
    <row r="17" spans="1:12">
      <c r="A17" s="18"/>
      <c r="B17" s="10" t="s">
        <v>20</v>
      </c>
      <c r="C17" s="11">
        <v>46213</v>
      </c>
      <c r="D17" s="12">
        <v>1248</v>
      </c>
      <c r="E17" s="19"/>
      <c r="F17" s="14">
        <f>IF(E15=0,0,D17/E15)</f>
        <v>156</v>
      </c>
      <c r="G17" s="20"/>
      <c r="H17" s="21"/>
      <c r="I17" s="21"/>
      <c r="J17" s="12">
        <v>0.85</v>
      </c>
      <c r="K17" s="14">
        <f>2.52/J17*I15</f>
        <v>109.69411764705883</v>
      </c>
      <c r="L17" s="17"/>
    </row>
    <row r="18" spans="1:12">
      <c r="A18" s="18"/>
      <c r="B18" s="10" t="s">
        <v>20</v>
      </c>
      <c r="C18" s="11">
        <v>46213</v>
      </c>
      <c r="D18" s="12">
        <v>212</v>
      </c>
      <c r="E18" s="19"/>
      <c r="F18" s="14">
        <f>IF(E15=0,0,D18/E15)</f>
        <v>26.5</v>
      </c>
      <c r="G18" s="20"/>
      <c r="H18" s="21"/>
      <c r="I18" s="21"/>
      <c r="J18" s="12">
        <v>0.88</v>
      </c>
      <c r="K18" s="14">
        <f>2.52/J18*I15</f>
        <v>105.95454545454545</v>
      </c>
      <c r="L18" s="17"/>
    </row>
    <row r="19" spans="1:12">
      <c r="A19" s="18" t="s">
        <v>28</v>
      </c>
      <c r="B19" s="12" t="s">
        <v>29</v>
      </c>
      <c r="C19" s="11">
        <v>46206</v>
      </c>
      <c r="D19" s="12">
        <v>18</v>
      </c>
      <c r="E19" s="19">
        <v>8</v>
      </c>
      <c r="F19" s="14">
        <f>IF(E19=0,0,D19/E19)</f>
        <v>2.25</v>
      </c>
      <c r="G19" s="20">
        <f>IF(E19=0,0,SUMPRODUCT(F19:F25,J19:J25)/(I19*2.52))</f>
        <v>3.0083774250440918</v>
      </c>
      <c r="H19" s="21">
        <f>G19*I19*E19</f>
        <v>866.41269841269843</v>
      </c>
      <c r="I19" s="21">
        <v>36</v>
      </c>
      <c r="J19" s="12">
        <v>0.2</v>
      </c>
      <c r="K19" s="14">
        <f>2.52/J19*I19</f>
        <v>453.59999999999997</v>
      </c>
      <c r="L19" s="17">
        <f>E19*I19</f>
        <v>288</v>
      </c>
    </row>
    <row r="20" spans="1:12">
      <c r="A20" s="18"/>
      <c r="B20" s="12" t="s">
        <v>30</v>
      </c>
      <c r="C20" s="11">
        <v>46206</v>
      </c>
      <c r="D20" s="12">
        <v>1914</v>
      </c>
      <c r="E20" s="19"/>
      <c r="F20" s="14">
        <f>IF(E19=0,0,D20/E19)</f>
        <v>239.25</v>
      </c>
      <c r="G20" s="20"/>
      <c r="H20" s="21"/>
      <c r="I20" s="21"/>
      <c r="J20" s="12">
        <v>0.2</v>
      </c>
      <c r="K20" s="14">
        <f>2.52/J20*I19</f>
        <v>453.59999999999997</v>
      </c>
      <c r="L20" s="17"/>
    </row>
    <row r="21" spans="1:12">
      <c r="A21" s="18"/>
      <c r="B21" s="12" t="s">
        <v>31</v>
      </c>
      <c r="C21" s="11">
        <v>46206</v>
      </c>
      <c r="D21" s="12">
        <v>164</v>
      </c>
      <c r="E21" s="19"/>
      <c r="F21" s="14">
        <f>IF(E19=0,0,D21/E19)</f>
        <v>20.5</v>
      </c>
      <c r="G21" s="20"/>
      <c r="H21" s="21"/>
      <c r="I21" s="21"/>
      <c r="J21" s="12">
        <v>0.2</v>
      </c>
      <c r="K21" s="14">
        <f>2.52/J21*I19</f>
        <v>453.59999999999997</v>
      </c>
      <c r="L21" s="17"/>
    </row>
    <row r="22" spans="1:12">
      <c r="A22" s="18"/>
      <c r="B22" s="12" t="s">
        <v>32</v>
      </c>
      <c r="C22" s="11">
        <v>46206</v>
      </c>
      <c r="D22" s="12">
        <v>131</v>
      </c>
      <c r="E22" s="19"/>
      <c r="F22" s="14">
        <f>IF(E19=0,0,D22/E19)</f>
        <v>16.375</v>
      </c>
      <c r="G22" s="20"/>
      <c r="H22" s="21"/>
      <c r="I22" s="21"/>
      <c r="J22" s="12">
        <v>0.2</v>
      </c>
      <c r="K22" s="14">
        <f>2.52/J22*I19</f>
        <v>453.59999999999997</v>
      </c>
      <c r="L22" s="17"/>
    </row>
    <row r="23" spans="1:12">
      <c r="A23" s="18"/>
      <c r="B23" s="12" t="s">
        <v>33</v>
      </c>
      <c r="C23" s="11">
        <v>46206</v>
      </c>
      <c r="D23" s="12">
        <v>3350</v>
      </c>
      <c r="E23" s="19"/>
      <c r="F23" s="14">
        <f>IF(E19=0,0,D23/E19)</f>
        <v>418.75</v>
      </c>
      <c r="G23" s="20"/>
      <c r="H23" s="21"/>
      <c r="I23" s="21"/>
      <c r="J23" s="12">
        <v>0.21</v>
      </c>
      <c r="K23" s="14">
        <f>2.52/J23*I19</f>
        <v>432</v>
      </c>
      <c r="L23" s="17"/>
    </row>
    <row r="24" spans="1:12">
      <c r="A24" s="18"/>
      <c r="B24" s="12" t="s">
        <v>34</v>
      </c>
      <c r="C24" s="11">
        <v>46206</v>
      </c>
      <c r="D24" s="12">
        <v>4308</v>
      </c>
      <c r="E24" s="19"/>
      <c r="F24" s="14">
        <f>IF(E19=0,0,D24/E19)</f>
        <v>538.5</v>
      </c>
      <c r="G24" s="20"/>
      <c r="H24" s="21"/>
      <c r="I24" s="21"/>
      <c r="J24" s="12">
        <v>0.21</v>
      </c>
      <c r="K24" s="14">
        <f>2.52/J24*I19</f>
        <v>432</v>
      </c>
      <c r="L24" s="17"/>
    </row>
    <row r="25" spans="1:12">
      <c r="A25" s="18"/>
      <c r="B25" s="12" t="s">
        <v>35</v>
      </c>
      <c r="C25" s="11">
        <v>46206</v>
      </c>
      <c r="D25" s="12">
        <v>618</v>
      </c>
      <c r="E25" s="19"/>
      <c r="F25" s="14">
        <f>IF(E19=0,0,D25/E19)</f>
        <v>77.25</v>
      </c>
      <c r="G25" s="20"/>
      <c r="H25" s="21"/>
      <c r="I25" s="21"/>
      <c r="J25" s="12">
        <v>0.21</v>
      </c>
      <c r="K25" s="14">
        <f>2.52/J25*I19</f>
        <v>432</v>
      </c>
      <c r="L25" s="17"/>
    </row>
    <row r="26" spans="1:12">
      <c r="A26" s="18" t="s">
        <v>36</v>
      </c>
      <c r="B26" s="10" t="s">
        <v>37</v>
      </c>
      <c r="C26" s="11">
        <v>46223</v>
      </c>
      <c r="D26" s="12">
        <v>0</v>
      </c>
      <c r="E26" s="19">
        <v>8</v>
      </c>
      <c r="F26" s="14">
        <f>IF(E26=0,0,D26/E26)</f>
        <v>0</v>
      </c>
      <c r="G26" s="20">
        <f>IF(E26=0,0,SUMPRODUCT(F26:F27,J26:J27)/(I26*2.52))</f>
        <v>1.2645937761069339</v>
      </c>
      <c r="H26" s="21">
        <f>G26*I26*E26</f>
        <v>384.43650793650789</v>
      </c>
      <c r="I26" s="21">
        <v>38</v>
      </c>
      <c r="J26" s="12">
        <v>1.1499999999999999</v>
      </c>
      <c r="K26" s="14">
        <f>2.52/J26*I26</f>
        <v>83.269565217391317</v>
      </c>
      <c r="L26" s="17">
        <f>E26*I26</f>
        <v>304</v>
      </c>
    </row>
    <row r="27" spans="1:12">
      <c r="A27" s="18"/>
      <c r="B27" s="10" t="s">
        <v>38</v>
      </c>
      <c r="C27" s="11">
        <v>46238</v>
      </c>
      <c r="D27" s="12">
        <v>1642</v>
      </c>
      <c r="E27" s="19"/>
      <c r="F27" s="14">
        <f>IF(E26=0,0,D27/E26)</f>
        <v>205.25</v>
      </c>
      <c r="G27" s="20"/>
      <c r="H27" s="21"/>
      <c r="I27" s="21"/>
      <c r="J27" s="12">
        <v>0.59</v>
      </c>
      <c r="K27" s="14">
        <f>2.52/J27*I26</f>
        <v>162.30508474576271</v>
      </c>
      <c r="L27" s="17"/>
    </row>
    <row r="28" spans="1:12">
      <c r="A28" s="18" t="s">
        <v>39</v>
      </c>
      <c r="B28" s="10" t="s">
        <v>40</v>
      </c>
      <c r="C28" s="11">
        <v>46162</v>
      </c>
      <c r="D28" s="12">
        <v>43</v>
      </c>
      <c r="E28" s="19">
        <v>8</v>
      </c>
      <c r="F28" s="14">
        <f>IF(E28=0,0,D28/E28)</f>
        <v>5.375</v>
      </c>
      <c r="G28" s="20">
        <f>IF(E28=0,0,SUMPRODUCT(F28:F31,J28:J31)/(I28*2.52))</f>
        <v>1.5036737351190474</v>
      </c>
      <c r="H28" s="21">
        <f>G28*I28*E28</f>
        <v>384.94047619047615</v>
      </c>
      <c r="I28" s="21">
        <v>32</v>
      </c>
      <c r="J28" s="12">
        <v>0.87</v>
      </c>
      <c r="K28" s="14">
        <f>2.52/J28*I28</f>
        <v>92.689655172413794</v>
      </c>
      <c r="L28" s="17">
        <f>E28*I28</f>
        <v>256</v>
      </c>
    </row>
    <row r="29" spans="1:12">
      <c r="A29" s="18"/>
      <c r="B29" s="10" t="s">
        <v>40</v>
      </c>
      <c r="C29" s="11">
        <v>46162</v>
      </c>
      <c r="D29" s="12">
        <v>37</v>
      </c>
      <c r="E29" s="19"/>
      <c r="F29" s="14">
        <f>IF(E28=0,0,D29/E28)</f>
        <v>4.625</v>
      </c>
      <c r="G29" s="20"/>
      <c r="H29" s="21"/>
      <c r="I29" s="21"/>
      <c r="J29" s="12">
        <v>0.89</v>
      </c>
      <c r="K29" s="14">
        <f>2.52/J29*I28</f>
        <v>90.606741573033702</v>
      </c>
      <c r="L29" s="17"/>
    </row>
    <row r="30" spans="1:12">
      <c r="A30" s="18"/>
      <c r="B30" s="10" t="s">
        <v>40</v>
      </c>
      <c r="C30" s="11">
        <v>46162</v>
      </c>
      <c r="D30" s="12">
        <v>81</v>
      </c>
      <c r="E30" s="19"/>
      <c r="F30" s="14">
        <f>IF(E28=0,0,D30/E28)</f>
        <v>10.125</v>
      </c>
      <c r="G30" s="20"/>
      <c r="H30" s="21"/>
      <c r="I30" s="21"/>
      <c r="J30" s="12">
        <v>0.91</v>
      </c>
      <c r="K30" s="14">
        <f>2.52/J30*I28</f>
        <v>88.615384615384613</v>
      </c>
      <c r="L30" s="17"/>
    </row>
    <row r="31" spans="1:12">
      <c r="A31" s="18"/>
      <c r="B31" s="10" t="s">
        <v>38</v>
      </c>
      <c r="C31" s="11">
        <v>46238</v>
      </c>
      <c r="D31" s="12">
        <v>1400</v>
      </c>
      <c r="E31" s="19"/>
      <c r="F31" s="14">
        <f>IF(E28=0,0,D31/E28)</f>
        <v>175</v>
      </c>
      <c r="G31" s="20"/>
      <c r="H31" s="21"/>
      <c r="I31" s="21"/>
      <c r="J31" s="12">
        <v>0.59</v>
      </c>
      <c r="K31" s="14">
        <f>2.52/J31*I28</f>
        <v>136.67796610169492</v>
      </c>
      <c r="L31" s="17"/>
    </row>
    <row r="32" spans="1:12">
      <c r="A32" s="18" t="s">
        <v>41</v>
      </c>
      <c r="B32" s="10" t="s">
        <v>42</v>
      </c>
      <c r="C32" s="11">
        <v>46211</v>
      </c>
      <c r="D32" s="12">
        <v>395</v>
      </c>
      <c r="E32" s="19">
        <v>8</v>
      </c>
      <c r="F32" s="14">
        <f>IF(E32=0,0,D32/E32)</f>
        <v>49.375</v>
      </c>
      <c r="G32" s="20">
        <f>IF(E32=0,0,SUMPRODUCT(F32:F33,J32:J33)/(I32*2.52))</f>
        <v>0.73575866750208851</v>
      </c>
      <c r="H32" s="21">
        <f>G32*I32*E32</f>
        <v>223.67063492063491</v>
      </c>
      <c r="I32" s="21">
        <v>38</v>
      </c>
      <c r="J32" s="12">
        <v>1.39</v>
      </c>
      <c r="K32" s="14">
        <f>2.52/J32*I32</f>
        <v>68.892086330935257</v>
      </c>
      <c r="L32" s="17">
        <f>E32*I32</f>
        <v>304</v>
      </c>
    </row>
    <row r="33" spans="1:12">
      <c r="A33" s="18"/>
      <c r="B33" s="10" t="s">
        <v>43</v>
      </c>
      <c r="C33" s="11">
        <v>46246</v>
      </c>
      <c r="D33" s="12">
        <v>10</v>
      </c>
      <c r="E33" s="19"/>
      <c r="F33" s="14">
        <f>IF(E32=0,0,D33/E32)</f>
        <v>1.25</v>
      </c>
      <c r="G33" s="20"/>
      <c r="H33" s="21"/>
      <c r="I33" s="21"/>
      <c r="J33" s="12">
        <v>1.46</v>
      </c>
      <c r="K33" s="14">
        <f>2.52/J33*I32</f>
        <v>65.589041095890408</v>
      </c>
      <c r="L33" s="17"/>
    </row>
    <row r="34" spans="1:12">
      <c r="A34" s="9" t="s">
        <v>44</v>
      </c>
      <c r="B34" s="10" t="s">
        <v>45</v>
      </c>
      <c r="C34" s="11">
        <v>46227</v>
      </c>
      <c r="D34" s="12">
        <v>1250</v>
      </c>
      <c r="E34" s="13">
        <v>8</v>
      </c>
      <c r="F34" s="14">
        <f>IF(E34=0,0,D34/E34)</f>
        <v>156.25</v>
      </c>
      <c r="G34" s="15">
        <f>IF(E34=0,0,SUMPRODUCT(F34:F34,J34:J34)/(I34*2.52))</f>
        <v>1.641281512605042</v>
      </c>
      <c r="H34" s="16">
        <f>G34*I34*E34</f>
        <v>446.42857142857139</v>
      </c>
      <c r="I34" s="16">
        <v>34</v>
      </c>
      <c r="J34" s="12">
        <v>0.9</v>
      </c>
      <c r="K34" s="14">
        <f>2.52/J34*I34</f>
        <v>95.199999999999989</v>
      </c>
      <c r="L34" s="17">
        <f>E34*I34</f>
        <v>272</v>
      </c>
    </row>
    <row r="35" spans="1:12">
      <c r="A35" s="18" t="s">
        <v>46</v>
      </c>
      <c r="B35" s="10" t="s">
        <v>47</v>
      </c>
      <c r="C35" s="11">
        <v>46202</v>
      </c>
      <c r="D35" s="12">
        <v>362</v>
      </c>
      <c r="E35" s="19">
        <v>8</v>
      </c>
      <c r="F35" s="14">
        <f>IF(E35=0,0,D35/E35)</f>
        <v>45.25</v>
      </c>
      <c r="G35" s="20">
        <f>IF(E35=0,0,SUMPRODUCT(F35:F37,J35:J37)/(I35*2.52))</f>
        <v>0.442996567996568</v>
      </c>
      <c r="H35" s="21">
        <f>G35*I35*E35</f>
        <v>131.12698412698413</v>
      </c>
      <c r="I35" s="21">
        <v>37</v>
      </c>
      <c r="J35" s="12">
        <v>0.86</v>
      </c>
      <c r="K35" s="14">
        <f>2.52/J35*I35</f>
        <v>108.41860465116278</v>
      </c>
      <c r="L35" s="17">
        <f>E35*I35</f>
        <v>296</v>
      </c>
    </row>
    <row r="36" spans="1:12">
      <c r="A36" s="18"/>
      <c r="B36" s="10" t="s">
        <v>47</v>
      </c>
      <c r="C36" s="11">
        <v>46202</v>
      </c>
      <c r="D36" s="12">
        <v>8</v>
      </c>
      <c r="E36" s="19"/>
      <c r="F36" s="14">
        <f>IF(E35=0,0,D36/E35)</f>
        <v>1</v>
      </c>
      <c r="G36" s="20"/>
      <c r="H36" s="21"/>
      <c r="I36" s="21"/>
      <c r="J36" s="12">
        <v>0.88</v>
      </c>
      <c r="K36" s="14">
        <f>2.52/J36*I35</f>
        <v>105.95454545454545</v>
      </c>
      <c r="L36" s="17"/>
    </row>
    <row r="37" spans="1:12">
      <c r="A37" s="18"/>
      <c r="B37" s="10" t="s">
        <v>48</v>
      </c>
      <c r="C37" s="11">
        <v>46246</v>
      </c>
      <c r="D37" s="12">
        <v>8</v>
      </c>
      <c r="E37" s="19"/>
      <c r="F37" s="14">
        <f>IF(E35=0,0,D37/E35)</f>
        <v>1</v>
      </c>
      <c r="G37" s="20"/>
      <c r="H37" s="21"/>
      <c r="I37" s="21"/>
      <c r="J37" s="12">
        <v>1.51</v>
      </c>
      <c r="K37" s="14">
        <f>2.52/J37*I35</f>
        <v>61.748344370860927</v>
      </c>
      <c r="L37" s="17"/>
    </row>
    <row r="38" spans="1:12">
      <c r="A38" s="9" t="s">
        <v>49</v>
      </c>
      <c r="B38" s="10" t="s">
        <v>50</v>
      </c>
      <c r="C38" s="11">
        <v>46223</v>
      </c>
      <c r="D38" s="12">
        <v>1482</v>
      </c>
      <c r="E38" s="13">
        <v>8</v>
      </c>
      <c r="F38" s="14">
        <f>IF(E38=0,0,D38/E38)</f>
        <v>185.25</v>
      </c>
      <c r="G38" s="15">
        <f>IF(E38=0,0,SUMPRODUCT(F38:F38,J38:J38)/(I38*2.52))</f>
        <v>1.7410714285714284</v>
      </c>
      <c r="H38" s="16">
        <f>G38*I38*E38</f>
        <v>529.28571428571422</v>
      </c>
      <c r="I38" s="16">
        <v>38</v>
      </c>
      <c r="J38" s="12">
        <v>0.9</v>
      </c>
      <c r="K38" s="14">
        <f>2.52/J38*I38</f>
        <v>106.39999999999999</v>
      </c>
      <c r="L38" s="17">
        <f>E38*I38</f>
        <v>304</v>
      </c>
    </row>
    <row r="39" spans="1:12">
      <c r="A39" s="9" t="s">
        <v>51</v>
      </c>
      <c r="B39" s="10" t="s">
        <v>23</v>
      </c>
      <c r="C39" s="11">
        <v>46122</v>
      </c>
      <c r="D39" s="12">
        <v>1349</v>
      </c>
      <c r="E39" s="13">
        <v>8</v>
      </c>
      <c r="F39" s="14">
        <f>IF(E39=0,0,D39/E39)</f>
        <v>168.625</v>
      </c>
      <c r="G39" s="15">
        <f>IF(E39=0,0,SUMPRODUCT(F39:F39,J39:J39)/(I39*2.52))</f>
        <v>1.8489583333333333</v>
      </c>
      <c r="H39" s="16">
        <f>G39*I39*E39</f>
        <v>562.08333333333326</v>
      </c>
      <c r="I39" s="16">
        <v>38</v>
      </c>
      <c r="J39" s="12">
        <v>1.05</v>
      </c>
      <c r="K39" s="14">
        <f>2.52/J39*I39</f>
        <v>91.2</v>
      </c>
      <c r="L39" s="17">
        <f>E39*I39</f>
        <v>304</v>
      </c>
    </row>
    <row r="40" spans="1:12">
      <c r="A40" s="18" t="s">
        <v>52</v>
      </c>
      <c r="B40" s="10" t="s">
        <v>47</v>
      </c>
      <c r="C40" s="11">
        <v>46165</v>
      </c>
      <c r="D40" s="12">
        <v>232</v>
      </c>
      <c r="E40" s="19">
        <v>8</v>
      </c>
      <c r="F40" s="14">
        <f>IF(E40=0,0,D40/E40)</f>
        <v>29</v>
      </c>
      <c r="G40" s="20">
        <f>IF(E40=0,0,SUMPRODUCT(F40:F42,J40:J42)/(I40*2.52))</f>
        <v>1.0059523809523809</v>
      </c>
      <c r="H40" s="21">
        <f>G40*I40*E40</f>
        <v>305.8095238095238</v>
      </c>
      <c r="I40" s="21">
        <v>38</v>
      </c>
      <c r="J40" s="12">
        <v>0.81</v>
      </c>
      <c r="K40" s="14">
        <f>2.52/J40*I40</f>
        <v>118.2222222222222</v>
      </c>
      <c r="L40" s="17">
        <f>E40*I40</f>
        <v>304</v>
      </c>
    </row>
    <row r="41" spans="1:12">
      <c r="A41" s="18"/>
      <c r="B41" s="10" t="s">
        <v>47</v>
      </c>
      <c r="C41" s="11">
        <v>46165</v>
      </c>
      <c r="D41" s="12">
        <v>24</v>
      </c>
      <c r="E41" s="19"/>
      <c r="F41" s="14">
        <f>IF(E40=0,0,D41/E40)</f>
        <v>3</v>
      </c>
      <c r="G41" s="20"/>
      <c r="H41" s="21"/>
      <c r="I41" s="21"/>
      <c r="J41" s="12">
        <v>0.88</v>
      </c>
      <c r="K41" s="14">
        <f>2.52/J41*I40</f>
        <v>108.81818181818183</v>
      </c>
      <c r="L41" s="17"/>
    </row>
    <row r="42" spans="1:12">
      <c r="A42" s="18"/>
      <c r="B42" s="10" t="s">
        <v>14</v>
      </c>
      <c r="C42" s="11">
        <v>46244</v>
      </c>
      <c r="D42" s="12">
        <v>720</v>
      </c>
      <c r="E42" s="19"/>
      <c r="F42" s="14">
        <f>IF(E40=0,0,D42/E40)</f>
        <v>90</v>
      </c>
      <c r="G42" s="20"/>
      <c r="H42" s="21"/>
      <c r="I42" s="21"/>
      <c r="J42" s="12">
        <v>0.78</v>
      </c>
      <c r="K42" s="14">
        <f>2.52/J42*I40</f>
        <v>122.76923076923077</v>
      </c>
      <c r="L42" s="17"/>
    </row>
    <row r="43" spans="1:12">
      <c r="A43" s="9" t="s">
        <v>53</v>
      </c>
      <c r="B43" s="10" t="s">
        <v>42</v>
      </c>
      <c r="C43" s="11">
        <v>46210</v>
      </c>
      <c r="D43" s="12">
        <v>1194</v>
      </c>
      <c r="E43" s="13">
        <v>8</v>
      </c>
      <c r="F43" s="14">
        <f>IF(E43=0,0,D43/E43)</f>
        <v>149.25</v>
      </c>
      <c r="G43" s="15">
        <f>IF(E43=0,0,SUMPRODUCT(F43:F43,J43:J43)/(I43*2.52))</f>
        <v>2.2867890211640209</v>
      </c>
      <c r="H43" s="16">
        <f>G43*I43*E43</f>
        <v>658.59523809523807</v>
      </c>
      <c r="I43" s="16">
        <v>36</v>
      </c>
      <c r="J43" s="12">
        <v>1.39</v>
      </c>
      <c r="K43" s="14">
        <f>2.52/J43*I43</f>
        <v>65.266187050359719</v>
      </c>
      <c r="L43" s="17">
        <f>E43*I43</f>
        <v>288</v>
      </c>
    </row>
    <row r="44" spans="1:12">
      <c r="A44" s="9" t="s">
        <v>54</v>
      </c>
      <c r="B44" s="10" t="s">
        <v>45</v>
      </c>
      <c r="C44" s="11">
        <v>46227</v>
      </c>
      <c r="D44" s="12">
        <v>1441</v>
      </c>
      <c r="E44" s="13">
        <v>8</v>
      </c>
      <c r="F44" s="14">
        <f>IF(E44=0,0,D44/E44)</f>
        <v>180.125</v>
      </c>
      <c r="G44" s="15">
        <f>IF(E44=0,0,SUMPRODUCT(F44:F44,J44:J44)/(I44*2.52))</f>
        <v>1.6929041353383458</v>
      </c>
      <c r="H44" s="16">
        <f>G44*I44*E44</f>
        <v>514.64285714285711</v>
      </c>
      <c r="I44" s="16">
        <v>38</v>
      </c>
      <c r="J44" s="12">
        <v>0.9</v>
      </c>
      <c r="K44" s="14">
        <f>2.52/J44*I44</f>
        <v>106.39999999999999</v>
      </c>
      <c r="L44" s="17">
        <f>E44*I44</f>
        <v>304</v>
      </c>
    </row>
    <row r="45" spans="1:12">
      <c r="A45" s="9" t="s">
        <v>55</v>
      </c>
      <c r="B45" s="10" t="s">
        <v>25</v>
      </c>
      <c r="C45" s="11">
        <v>46221</v>
      </c>
      <c r="D45" s="12">
        <v>1265</v>
      </c>
      <c r="E45" s="13">
        <v>9</v>
      </c>
      <c r="F45" s="14">
        <f>IF(E45=0,0,D45/E45)</f>
        <v>140.55555555555554</v>
      </c>
      <c r="G45" s="15">
        <f>IF(E45=0,0,SUMPRODUCT(F45:F45,J45:J45)/(I45*2.52))</f>
        <v>1.7760257124292209</v>
      </c>
      <c r="H45" s="16">
        <f>G45*I45*E45</f>
        <v>607.4007936507935</v>
      </c>
      <c r="I45" s="16">
        <v>38</v>
      </c>
      <c r="J45" s="12">
        <v>1.21</v>
      </c>
      <c r="K45" s="14">
        <f>2.52/J45*I45</f>
        <v>79.140495867768607</v>
      </c>
      <c r="L45" s="17">
        <f>E45*I45</f>
        <v>342</v>
      </c>
    </row>
    <row r="46" spans="1:12" s="30" customFormat="1">
      <c r="A46" s="22" t="s">
        <v>56</v>
      </c>
      <c r="B46" s="23"/>
      <c r="C46" s="24"/>
      <c r="D46" s="25">
        <f>SUM(D5:D45)</f>
        <v>34142</v>
      </c>
      <c r="E46" s="26">
        <f>SUM(E5:E45)</f>
        <v>162</v>
      </c>
      <c r="F46" s="27"/>
      <c r="G46" s="28">
        <f>SUM(H5:H45)/L46</f>
        <v>1.637870635054089</v>
      </c>
      <c r="H46" s="25"/>
      <c r="I46" s="25">
        <f>SUM(I5:I45)</f>
        <v>734</v>
      </c>
      <c r="J46" s="25"/>
      <c r="K46" s="27"/>
      <c r="L46" s="29">
        <f>SUM(L5:L45)</f>
        <v>5947</v>
      </c>
    </row>
    <row r="47" spans="1:12" s="30" customFormat="1" ht="13.5" thickBot="1">
      <c r="A47" s="31" t="s">
        <v>57</v>
      </c>
      <c r="B47" s="32"/>
      <c r="C47" s="33"/>
      <c r="D47" s="34">
        <f>SUMIF(A5:A46, "&lt;&gt;Summary", D5:D46)</f>
        <v>34142</v>
      </c>
      <c r="E47" s="35">
        <f>SUMIF(A5:A46, "&lt;&gt;Summary", E5:E46)</f>
        <v>162</v>
      </c>
      <c r="F47" s="36"/>
      <c r="G47" s="37">
        <f>SUMIF(A5:A46, "&lt;&gt;Summary", H5:H46)/L47</f>
        <v>1.637870635054089</v>
      </c>
      <c r="H47" s="34"/>
      <c r="I47" s="34">
        <f>SUMIF(A5:A46, "&lt;&gt;Summary", I5:I46)</f>
        <v>734</v>
      </c>
      <c r="J47" s="34"/>
      <c r="K47" s="36"/>
      <c r="L47" s="38">
        <f>SUMIF(A5:A46, "&lt;&gt;Summary", L5:L46)</f>
        <v>5947</v>
      </c>
    </row>
    <row r="48" spans="1:12" s="30" customFormat="1" ht="13.5" thickTop="1"/>
    <row r="50" spans="3:4">
      <c r="C50" s="30" t="s">
        <v>58</v>
      </c>
      <c r="D50" s="39">
        <f>+SUM(H5:H12)/SUM(L5:L12)</f>
        <v>1.6782533212560389</v>
      </c>
    </row>
    <row r="51" spans="3:4">
      <c r="C51" s="30" t="s">
        <v>59</v>
      </c>
      <c r="D51" s="39">
        <f>+SUM(H13:H27)/SUM(L13:L27)</f>
        <v>1.9360717193828452</v>
      </c>
    </row>
    <row r="52" spans="3:4">
      <c r="C52" s="30" t="s">
        <v>60</v>
      </c>
      <c r="D52" s="39">
        <f>+SUM(H28:H38)/SUM(L28:L38)</f>
        <v>1.1979416068103217</v>
      </c>
    </row>
    <row r="53" spans="3:4">
      <c r="C53" s="30" t="s">
        <v>61</v>
      </c>
      <c r="D53" s="39">
        <f>SUM(H39:H45)/SUM(L39:L45)</f>
        <v>1.7175951660387454</v>
      </c>
    </row>
  </sheetData>
  <mergeCells count="59">
    <mergeCell ref="A47:C47"/>
    <mergeCell ref="A40:A42"/>
    <mergeCell ref="E40:E42"/>
    <mergeCell ref="G40:G42"/>
    <mergeCell ref="H40:H42"/>
    <mergeCell ref="I40:I42"/>
    <mergeCell ref="A46:C46"/>
    <mergeCell ref="A32:A33"/>
    <mergeCell ref="E32:E33"/>
    <mergeCell ref="G32:G33"/>
    <mergeCell ref="H32:H33"/>
    <mergeCell ref="I32:I33"/>
    <mergeCell ref="A35:A37"/>
    <mergeCell ref="E35:E37"/>
    <mergeCell ref="G35:G37"/>
    <mergeCell ref="H35:H37"/>
    <mergeCell ref="I35:I37"/>
    <mergeCell ref="A26:A27"/>
    <mergeCell ref="E26:E27"/>
    <mergeCell ref="G26:G27"/>
    <mergeCell ref="H26:H27"/>
    <mergeCell ref="I26:I27"/>
    <mergeCell ref="A28:A31"/>
    <mergeCell ref="E28:E31"/>
    <mergeCell ref="G28:G31"/>
    <mergeCell ref="H28:H31"/>
    <mergeCell ref="I28:I31"/>
    <mergeCell ref="A15:A18"/>
    <mergeCell ref="E15:E18"/>
    <mergeCell ref="G15:G18"/>
    <mergeCell ref="H15:H18"/>
    <mergeCell ref="I15:I18"/>
    <mergeCell ref="A19:A25"/>
    <mergeCell ref="E19:E25"/>
    <mergeCell ref="G19:G25"/>
    <mergeCell ref="H19:H25"/>
    <mergeCell ref="I19:I25"/>
    <mergeCell ref="A6:A8"/>
    <mergeCell ref="E6:E8"/>
    <mergeCell ref="G6:G8"/>
    <mergeCell ref="H6:H8"/>
    <mergeCell ref="I6:I8"/>
    <mergeCell ref="A10:A11"/>
    <mergeCell ref="E10:E11"/>
    <mergeCell ref="G10:G11"/>
    <mergeCell ref="H10:H11"/>
    <mergeCell ref="I10:I11"/>
    <mergeCell ref="G3:G4"/>
    <mergeCell ref="H3:H4"/>
    <mergeCell ref="I3:I4"/>
    <mergeCell ref="J3:J4"/>
    <mergeCell ref="K3:K4"/>
    <mergeCell ref="L3:L4"/>
    <mergeCell ref="A3:A4"/>
    <mergeCell ref="B3:B4"/>
    <mergeCell ref="C3:C4"/>
    <mergeCell ref="D3:D4"/>
    <mergeCell ref="E3:E4"/>
    <mergeCell ref="F3:F4"/>
  </mergeCells>
  <printOptions horizontalCentered="1"/>
  <pageMargins left="0.2" right="0.2" top="1" bottom="0.2" header="0.2" footer="0.2"/>
  <pageSetup paperSize="9" orientation="portrait" horizontalDpi="203" verticalDpi="203" r:id="rId1"/>
  <headerFooter>
    <oddHeader>&amp;C&amp;16PT GLORY DEMAK INDONESIA&amp;20
TARGET PER HARI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TargetPerHari</vt:lpstr>
      <vt:lpstr>Sheet2</vt:lpstr>
      <vt:lpstr>Sheet3</vt:lpstr>
      <vt:lpstr>TargetPerHari!Print_Titles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NikenSetiani</dc:creator>
  <cp:lastModifiedBy>NikenSetiani</cp:lastModifiedBy>
  <cp:lastPrinted>2026-08-13T03:06:55Z</cp:lastPrinted>
  <dcterms:created xsi:type="dcterms:W3CDTF">2026-08-13T03:05:04Z</dcterms:created>
  <dcterms:modified xsi:type="dcterms:W3CDTF">2026-08-13T03:10:25Z</dcterms:modified>
</cp:coreProperties>
</file>