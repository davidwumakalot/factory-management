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40" i="1"/>
  <c r="E40"/>
  <c r="D40"/>
  <c r="I39"/>
  <c r="E39"/>
  <c r="D39"/>
  <c r="L38"/>
  <c r="K38"/>
  <c r="F38"/>
  <c r="G38" s="1"/>
  <c r="H38" s="1"/>
  <c r="L37"/>
  <c r="G37"/>
  <c r="H37" s="1"/>
  <c r="K37"/>
  <c r="F37"/>
  <c r="L36"/>
  <c r="K36"/>
  <c r="F36"/>
  <c r="G36" s="1"/>
  <c r="H36" s="1"/>
  <c r="L33"/>
  <c r="K35"/>
  <c r="F35"/>
  <c r="K34"/>
  <c r="F34"/>
  <c r="K33"/>
  <c r="F33"/>
  <c r="G33" s="1"/>
  <c r="H33" s="1"/>
  <c r="L32"/>
  <c r="K32"/>
  <c r="F32"/>
  <c r="G32" s="1"/>
  <c r="H32" s="1"/>
  <c r="L31"/>
  <c r="K31"/>
  <c r="F31"/>
  <c r="G31" s="1"/>
  <c r="H31" s="1"/>
  <c r="L30"/>
  <c r="K30"/>
  <c r="F30"/>
  <c r="G30" s="1"/>
  <c r="H30" s="1"/>
  <c r="L29"/>
  <c r="K29"/>
  <c r="F29"/>
  <c r="G29" s="1"/>
  <c r="H29" s="1"/>
  <c r="L28"/>
  <c r="G28"/>
  <c r="H28" s="1"/>
  <c r="K28"/>
  <c r="F28"/>
  <c r="L27"/>
  <c r="K27"/>
  <c r="F27"/>
  <c r="G27" s="1"/>
  <c r="H27" s="1"/>
  <c r="L24"/>
  <c r="K26"/>
  <c r="F26"/>
  <c r="K25"/>
  <c r="F25"/>
  <c r="K24"/>
  <c r="F24"/>
  <c r="L18"/>
  <c r="K23"/>
  <c r="F23"/>
  <c r="K22"/>
  <c r="F22"/>
  <c r="K21"/>
  <c r="F21"/>
  <c r="K20"/>
  <c r="F20"/>
  <c r="K19"/>
  <c r="F19"/>
  <c r="K18"/>
  <c r="F18"/>
  <c r="G18" s="1"/>
  <c r="H18" s="1"/>
  <c r="L16"/>
  <c r="K17"/>
  <c r="F17"/>
  <c r="K16"/>
  <c r="F16"/>
  <c r="G16" s="1"/>
  <c r="H16" s="1"/>
  <c r="L15"/>
  <c r="G15"/>
  <c r="H15" s="1"/>
  <c r="K15"/>
  <c r="F15"/>
  <c r="L14"/>
  <c r="K14"/>
  <c r="F14"/>
  <c r="G14" s="1"/>
  <c r="H14" s="1"/>
  <c r="L13"/>
  <c r="K13"/>
  <c r="F13"/>
  <c r="G13" s="1"/>
  <c r="H13" s="1"/>
  <c r="L10"/>
  <c r="K12"/>
  <c r="F12"/>
  <c r="K11"/>
  <c r="F11"/>
  <c r="G10" s="1"/>
  <c r="H10" s="1"/>
  <c r="K10"/>
  <c r="F10"/>
  <c r="L8"/>
  <c r="K9"/>
  <c r="F9"/>
  <c r="K8"/>
  <c r="F8"/>
  <c r="G8" s="1"/>
  <c r="H8" s="1"/>
  <c r="L6"/>
  <c r="K7"/>
  <c r="F7"/>
  <c r="K6"/>
  <c r="F6"/>
  <c r="G6" s="1"/>
  <c r="H6" s="1"/>
  <c r="L5"/>
  <c r="K5"/>
  <c r="F5"/>
  <c r="G5" s="1"/>
  <c r="H5" s="1"/>
  <c r="L39" l="1"/>
  <c r="L40"/>
  <c r="G40" s="1"/>
  <c r="G24"/>
  <c r="H24" s="1"/>
  <c r="G39"/>
</calcChain>
</file>

<file path=xl/sharedStrings.xml><?xml version="1.0" encoding="utf-8"?>
<sst xmlns="http://schemas.openxmlformats.org/spreadsheetml/2006/main" count="69" uniqueCount="56">
  <si>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</si>
  <si>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</si>
  <si>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</si>
  <si>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</si>
  <si>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</si>
  <si>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</si>
  <si>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</si>
  <si>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</si>
  <si>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</si>
  <si>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</si>
  <si>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</si>
  <si>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</si>
  <si>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</si>
  <si>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</si>
  <si>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</si>
  <si>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</si>
  <si>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</si>
  <si>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</si>
  <si>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</si>
  <si>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CPW264TL38</t>
  </si>
  <si>
    <t>6-04</t>
  </si>
  <si>
    <t>766362_HO26</t>
  </si>
  <si>
    <t>CPM263TL32_26Q4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</si>
  <si>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</si>
  <si>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</si>
  <si>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</si>
  <si>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</si>
  <si>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</si>
  <si>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</si>
  <si>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</si>
  <si>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</si>
  <si>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</si>
  <si>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</si>
  <si>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</si>
  <si>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</si>
  <si>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</si>
  <si>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</si>
  <si>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</si>
  <si>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1182719_HO26</t>
  </si>
  <si>
    <t>6-11</t>
  </si>
  <si>
    <t>6-12</t>
  </si>
  <si>
    <t>X25413_C426</t>
  </si>
  <si>
    <t>6-13</t>
  </si>
  <si>
    <t>1182723_HO26</t>
  </si>
  <si>
    <t>6-14</t>
  </si>
  <si>
    <t>00GG4Z_C127IND</t>
  </si>
  <si>
    <t>6-15</t>
  </si>
  <si>
    <t>6-16</t>
  </si>
  <si>
    <t>6-17</t>
  </si>
  <si>
    <t>G9M018_C426</t>
  </si>
  <si>
    <t>6-18</t>
  </si>
  <si>
    <t>910047_HO26DIS</t>
  </si>
  <si>
    <t>6-19</t>
  </si>
  <si>
    <t>6-20</t>
  </si>
  <si>
    <t>Summary</t>
  </si>
  <si>
    <t>Grand Total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</si>
</sst>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zoomScaleNormal="100" workbookViewId="0">
      <pane ySplit="4" topLeftCell="A5" activePane="bottomLeft" state="frozen"/>
      <selection pane="bottomLeft" activeCell="I16" sqref="I16:I1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46247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12">
        <v>1283</v>
      </c>
      <c r="E5" s="13">
        <v>8</v>
      </c>
      <c r="F5" s="14">
        <f>IF(E5=0,0,D5/E5)</f>
        <v>160.375</v>
      </c>
      <c r="G5" s="15">
        <f>IF(E5=0,0,SUMPRODUCT(F5:F5,J5:J5)/(I5*2.52))</f>
        <v>1.3416184041184043</v>
      </c>
      <c r="H5" s="16">
        <f>G5*I5*E5</f>
        <v>397.11904761904765</v>
      </c>
      <c r="I5" s="16">
        <v>37</v>
      </c>
      <c r="J5" s="12">
        <v>0.78</v>
      </c>
      <c r="K5" s="14">
        <f>2.52/J5*I5</f>
        <v>119.53846153846155</v>
      </c>
      <c r="L5" s="17">
        <f>E5*I5</f>
        <v>296</v>
      </c>
    </row>
    <row r="6" spans="1:12">
      <c r="A6" s="18" t="s">
        <v>15</v>
      </c>
      <c r="B6" s="10" t="s">
        <v>16</v>
      </c>
      <c r="C6" s="11">
        <v>46176</v>
      </c>
      <c r="D6" s="12">
        <v>24</v>
      </c>
      <c r="E6" s="19">
        <v>8</v>
      </c>
      <c r="F6" s="14">
        <f>IF(E6=0,0,D6/E6)</f>
        <v>3</v>
      </c>
      <c r="G6" s="20">
        <f>IF(E6=0,0,SUMPRODUCT(F6:F7,J6:J7)/(I6*2.52))</f>
        <v>2.5132653061224492</v>
      </c>
      <c r="H6" s="21">
        <f>G6*I6*E6</f>
        <v>703.71428571428578</v>
      </c>
      <c r="I6" s="21">
        <v>35</v>
      </c>
      <c r="J6" s="12">
        <v>1.25</v>
      </c>
      <c r="K6" s="14">
        <f>2.52/J6*I6</f>
        <v>70.56</v>
      </c>
      <c r="L6" s="17">
        <f>E6*I6</f>
        <v>280</v>
      </c>
    </row>
    <row r="7" spans="1:12">
      <c r="A7" s="18"/>
      <c r="B7" s="10" t="s">
        <v>16</v>
      </c>
      <c r="C7" s="11">
        <v>46176</v>
      </c>
      <c r="D7" s="12">
        <v>1362</v>
      </c>
      <c r="E7" s="19"/>
      <c r="F7" s="14">
        <f>IF(E6=0,0,D7/E6)</f>
        <v>170.25</v>
      </c>
      <c r="G7" s="20"/>
      <c r="H7" s="21"/>
      <c r="I7" s="21"/>
      <c r="J7" s="12">
        <v>1.28</v>
      </c>
      <c r="K7" s="14">
        <f>2.52/J7*I6</f>
        <v>68.90625</v>
      </c>
      <c r="L7" s="17"/>
    </row>
    <row r="8" spans="1:12">
      <c r="A8" s="18" t="s">
        <v>17</v>
      </c>
      <c r="B8" s="10" t="s">
        <v>18</v>
      </c>
      <c r="C8" s="11"/>
      <c r="D8" s="12">
        <v>0</v>
      </c>
      <c r="E8" s="19">
        <v>8</v>
      </c>
      <c r="F8" s="14">
        <f>IF(E8=0,0,D8/E8)</f>
        <v>0</v>
      </c>
      <c r="G8" s="20">
        <f>IF(E8=0,0,SUMPRODUCT(F8:F9,J8:J9)/(I8*2.52))</f>
        <v>1.2861969111969112</v>
      </c>
      <c r="H8" s="21">
        <f>G8*I8*E8</f>
        <v>380.71428571428572</v>
      </c>
      <c r="I8" s="21">
        <v>37</v>
      </c>
      <c r="J8" s="12">
        <v>1.74</v>
      </c>
      <c r="K8" s="14">
        <f>2.52/J8*I8</f>
        <v>53.586206896551722</v>
      </c>
      <c r="L8" s="17">
        <f>E8*I8</f>
        <v>296</v>
      </c>
    </row>
    <row r="9" spans="1:12">
      <c r="A9" s="18"/>
      <c r="B9" s="10" t="s">
        <v>19</v>
      </c>
      <c r="C9" s="11">
        <v>46224</v>
      </c>
      <c r="D9" s="12">
        <v>1066</v>
      </c>
      <c r="E9" s="19"/>
      <c r="F9" s="14">
        <f>IF(E8=0,0,D9/E8)</f>
        <v>133.25</v>
      </c>
      <c r="G9" s="20"/>
      <c r="H9" s="21"/>
      <c r="I9" s="21"/>
      <c r="J9" s="12">
        <v>0.9</v>
      </c>
      <c r="K9" s="14">
        <f>2.52/J9*I8</f>
        <v>103.6</v>
      </c>
      <c r="L9" s="17"/>
    </row>
    <row r="10" spans="1:12">
      <c r="A10" s="18" t="s">
        <v>20</v>
      </c>
      <c r="B10" s="10" t="s">
        <v>21</v>
      </c>
      <c r="C10" s="11">
        <v>46203</v>
      </c>
      <c r="D10" s="12">
        <v>354</v>
      </c>
      <c r="E10" s="19">
        <v>8</v>
      </c>
      <c r="F10" s="14">
        <f>IF(E10=0,0,D10/E10)</f>
        <v>44.25</v>
      </c>
      <c r="G10" s="20">
        <f>IF(E10=0,0,SUMPRODUCT(F10:F12,J10:J12)/(I10*2.52))</f>
        <v>1.2123276942355889</v>
      </c>
      <c r="H10" s="21">
        <f>G10*I10*E10</f>
        <v>368.54761904761904</v>
      </c>
      <c r="I10" s="21">
        <v>38</v>
      </c>
      <c r="J10" s="12">
        <v>0.85</v>
      </c>
      <c r="K10" s="14">
        <f>2.52/J10*I10</f>
        <v>112.65882352941176</v>
      </c>
      <c r="L10" s="17">
        <f>E10*I10</f>
        <v>304</v>
      </c>
    </row>
    <row r="11" spans="1:12">
      <c r="A11" s="18"/>
      <c r="B11" s="10" t="s">
        <v>21</v>
      </c>
      <c r="C11" s="11">
        <v>46203</v>
      </c>
      <c r="D11" s="12">
        <v>693</v>
      </c>
      <c r="E11" s="19"/>
      <c r="F11" s="14">
        <f>IF(E10=0,0,D11/E10)</f>
        <v>86.625</v>
      </c>
      <c r="G11" s="20"/>
      <c r="H11" s="21"/>
      <c r="I11" s="21"/>
      <c r="J11" s="12">
        <v>0.88</v>
      </c>
      <c r="K11" s="14">
        <f>2.52/J11*I10</f>
        <v>108.81818181818183</v>
      </c>
      <c r="L11" s="17"/>
    </row>
    <row r="12" spans="1:12">
      <c r="A12" s="18"/>
      <c r="B12" s="10" t="s">
        <v>22</v>
      </c>
      <c r="C12" s="11">
        <v>46228</v>
      </c>
      <c r="D12" s="12">
        <v>20</v>
      </c>
      <c r="E12" s="19"/>
      <c r="F12" s="14">
        <f>IF(E10=0,0,D12/E10)</f>
        <v>2.5</v>
      </c>
      <c r="G12" s="20"/>
      <c r="H12" s="21"/>
      <c r="I12" s="21"/>
      <c r="J12" s="12">
        <v>0.9</v>
      </c>
      <c r="K12" s="14">
        <f>2.52/J12*I10</f>
        <v>106.39999999999999</v>
      </c>
      <c r="L12" s="17"/>
    </row>
    <row r="13" spans="1:12">
      <c r="A13" s="9" t="s">
        <v>23</v>
      </c>
      <c r="B13" s="10" t="s">
        <v>19</v>
      </c>
      <c r="C13" s="11">
        <v>46232</v>
      </c>
      <c r="D13" s="12">
        <v>1425</v>
      </c>
      <c r="E13" s="13">
        <v>8</v>
      </c>
      <c r="F13" s="14">
        <f>IF(E13=0,0,D13/E13)</f>
        <v>178.125</v>
      </c>
      <c r="G13" s="15">
        <f>IF(E13=0,0,SUMPRODUCT(F13:F13,J13:J13)/(I13*2.52))</f>
        <v>1.8710609243697478</v>
      </c>
      <c r="H13" s="16">
        <f>G13*I13*E13</f>
        <v>508.92857142857139</v>
      </c>
      <c r="I13" s="16">
        <v>34</v>
      </c>
      <c r="J13" s="12">
        <v>0.9</v>
      </c>
      <c r="K13" s="14">
        <f>2.52/J13*I13</f>
        <v>95.199999999999989</v>
      </c>
      <c r="L13" s="17">
        <f>E13*I13</f>
        <v>272</v>
      </c>
    </row>
    <row r="14" spans="1:12">
      <c r="A14" s="9" t="s">
        <v>24</v>
      </c>
      <c r="B14" s="10" t="s">
        <v>25</v>
      </c>
      <c r="C14" s="11">
        <v>46122</v>
      </c>
      <c r="D14" s="12">
        <v>1486</v>
      </c>
      <c r="E14" s="13">
        <v>8</v>
      </c>
      <c r="F14" s="14">
        <f>IF(E14=0,0,D14/E14)</f>
        <v>185.75</v>
      </c>
      <c r="G14" s="15">
        <f>IF(E14=0,0,SUMPRODUCT(F14:F14,J14:J14)/(I14*2.52))</f>
        <v>2.0917792792792795</v>
      </c>
      <c r="H14" s="16">
        <f>G14*I14*E14</f>
        <v>619.16666666666674</v>
      </c>
      <c r="I14" s="16">
        <v>37</v>
      </c>
      <c r="J14" s="12">
        <v>1.05</v>
      </c>
      <c r="K14" s="14">
        <f>2.52/J14*I14</f>
        <v>88.8</v>
      </c>
      <c r="L14" s="17">
        <f>E14*I14</f>
        <v>296</v>
      </c>
    </row>
    <row r="15" spans="1:12">
      <c r="A15" s="9" t="s">
        <v>26</v>
      </c>
      <c r="B15" s="10" t="s">
        <v>27</v>
      </c>
      <c r="C15" s="11">
        <v>46225</v>
      </c>
      <c r="D15" s="12">
        <v>998</v>
      </c>
      <c r="E15" s="13">
        <v>8</v>
      </c>
      <c r="F15" s="14">
        <f>IF(E15=0,0,D15/E15)</f>
        <v>124.75</v>
      </c>
      <c r="G15" s="15">
        <f>IF(E15=0,0,SUMPRODUCT(F15:F15,J15:J15)/(I15*2.52))</f>
        <v>1.7114229024943308</v>
      </c>
      <c r="H15" s="16">
        <f>G15*I15*E15</f>
        <v>479.19841269841265</v>
      </c>
      <c r="I15" s="16">
        <v>35</v>
      </c>
      <c r="J15" s="12">
        <v>1.21</v>
      </c>
      <c r="K15" s="14">
        <f>2.52/J15*I15</f>
        <v>72.892561983471083</v>
      </c>
      <c r="L15" s="17">
        <f>E15*I15</f>
        <v>280</v>
      </c>
    </row>
    <row r="16" spans="1:12">
      <c r="A16" s="18" t="s">
        <v>28</v>
      </c>
      <c r="B16" s="10" t="s">
        <v>21</v>
      </c>
      <c r="C16" s="11">
        <v>46213</v>
      </c>
      <c r="D16" s="12">
        <v>1097</v>
      </c>
      <c r="E16" s="19">
        <v>8</v>
      </c>
      <c r="F16" s="14">
        <f>IF(E16=0,0,D16/E16)</f>
        <v>137.125</v>
      </c>
      <c r="G16" s="20">
        <f>IF(E16=0,0,SUMPRODUCT(F16:F17,J16:J17)/(I16*2.52))</f>
        <v>1.5066826499118167</v>
      </c>
      <c r="H16" s="21">
        <f>G16*I16*E16</f>
        <v>433.92460317460319</v>
      </c>
      <c r="I16" s="21">
        <v>36</v>
      </c>
      <c r="J16" s="12">
        <v>0.85</v>
      </c>
      <c r="K16" s="14">
        <f>2.52/J16*I16</f>
        <v>106.72941176470589</v>
      </c>
      <c r="L16" s="17">
        <f>E16*I16</f>
        <v>288</v>
      </c>
    </row>
    <row r="17" spans="1:12">
      <c r="A17" s="18"/>
      <c r="B17" s="10" t="s">
        <v>21</v>
      </c>
      <c r="C17" s="11">
        <v>46213</v>
      </c>
      <c r="D17" s="12">
        <v>183</v>
      </c>
      <c r="E17" s="19"/>
      <c r="F17" s="14">
        <f>IF(E16=0,0,D17/E16)</f>
        <v>22.875</v>
      </c>
      <c r="G17" s="20"/>
      <c r="H17" s="21"/>
      <c r="I17" s="21"/>
      <c r="J17" s="12">
        <v>0.88</v>
      </c>
      <c r="K17" s="14">
        <f>2.52/J17*I16</f>
        <v>103.09090909090909</v>
      </c>
      <c r="L17" s="17"/>
    </row>
    <row r="18" spans="1:12">
      <c r="A18" s="18" t="s">
        <v>29</v>
      </c>
      <c r="B18" s="12" t="s">
        <v>30</v>
      </c>
      <c r="C18" s="11">
        <v>46206</v>
      </c>
      <c r="D18" s="12">
        <v>1070</v>
      </c>
      <c r="E18" s="19">
        <v>8</v>
      </c>
      <c r="F18" s="14">
        <f>IF(E18=0,0,D18/E18)</f>
        <v>133.75</v>
      </c>
      <c r="G18" s="20">
        <f>IF(E18=0,0,SUMPRODUCT(F18:F23,J18:J23)/(I18*2.52))</f>
        <v>2.9526289682539684</v>
      </c>
      <c r="H18" s="21">
        <f>G18*I18*E18</f>
        <v>850.35714285714289</v>
      </c>
      <c r="I18" s="21">
        <v>36</v>
      </c>
      <c r="J18" s="12">
        <v>0.2</v>
      </c>
      <c r="K18" s="14">
        <f>2.52/J18*I18</f>
        <v>453.59999999999997</v>
      </c>
      <c r="L18" s="17">
        <f>E18*I18</f>
        <v>288</v>
      </c>
    </row>
    <row r="19" spans="1:12">
      <c r="A19" s="18"/>
      <c r="B19" s="12" t="s">
        <v>31</v>
      </c>
      <c r="C19" s="11">
        <v>46206</v>
      </c>
      <c r="D19" s="12">
        <v>5207</v>
      </c>
      <c r="E19" s="19"/>
      <c r="F19" s="14">
        <f>IF(E18=0,0,D19/E18)</f>
        <v>650.875</v>
      </c>
      <c r="G19" s="20"/>
      <c r="H19" s="21"/>
      <c r="I19" s="21"/>
      <c r="J19" s="12">
        <v>0.2</v>
      </c>
      <c r="K19" s="14">
        <f>2.52/J19*I18</f>
        <v>453.59999999999997</v>
      </c>
      <c r="L19" s="17"/>
    </row>
    <row r="20" spans="1:12">
      <c r="A20" s="18"/>
      <c r="B20" s="12" t="s">
        <v>32</v>
      </c>
      <c r="C20" s="11">
        <v>46206</v>
      </c>
      <c r="D20" s="12">
        <v>38</v>
      </c>
      <c r="E20" s="19"/>
      <c r="F20" s="14">
        <f>IF(E18=0,0,D20/E18)</f>
        <v>4.75</v>
      </c>
      <c r="G20" s="20"/>
      <c r="H20" s="21"/>
      <c r="I20" s="21"/>
      <c r="J20" s="12">
        <v>0.2</v>
      </c>
      <c r="K20" s="14">
        <f>2.52/J20*I18</f>
        <v>453.59999999999997</v>
      </c>
      <c r="L20" s="17"/>
    </row>
    <row r="21" spans="1:12">
      <c r="A21" s="18"/>
      <c r="B21" s="12" t="s">
        <v>33</v>
      </c>
      <c r="C21" s="11">
        <v>46206</v>
      </c>
      <c r="D21" s="12">
        <v>100</v>
      </c>
      <c r="E21" s="19"/>
      <c r="F21" s="14">
        <f>IF(E18=0,0,D21/E18)</f>
        <v>12.5</v>
      </c>
      <c r="G21" s="20"/>
      <c r="H21" s="21"/>
      <c r="I21" s="21"/>
      <c r="J21" s="12">
        <v>0.21</v>
      </c>
      <c r="K21" s="14">
        <f>2.52/J21*I18</f>
        <v>432</v>
      </c>
      <c r="L21" s="17"/>
    </row>
    <row r="22" spans="1:12">
      <c r="A22" s="18"/>
      <c r="B22" s="12" t="s">
        <v>34</v>
      </c>
      <c r="C22" s="11">
        <v>46206</v>
      </c>
      <c r="D22" s="12">
        <v>90</v>
      </c>
      <c r="E22" s="19"/>
      <c r="F22" s="14">
        <f>IF(E18=0,0,D22/E18)</f>
        <v>11.25</v>
      </c>
      <c r="G22" s="20"/>
      <c r="H22" s="21"/>
      <c r="I22" s="21"/>
      <c r="J22" s="12">
        <v>0.21</v>
      </c>
      <c r="K22" s="14">
        <f>2.52/J22*I18</f>
        <v>432</v>
      </c>
      <c r="L22" s="17"/>
    </row>
    <row r="23" spans="1:12">
      <c r="A23" s="18"/>
      <c r="B23" s="12" t="s">
        <v>35</v>
      </c>
      <c r="C23" s="11">
        <v>46206</v>
      </c>
      <c r="D23" s="12">
        <v>4000</v>
      </c>
      <c r="E23" s="19"/>
      <c r="F23" s="14">
        <f>IF(E18=0,0,D23/E18)</f>
        <v>500</v>
      </c>
      <c r="G23" s="20"/>
      <c r="H23" s="21"/>
      <c r="I23" s="21"/>
      <c r="J23" s="12">
        <v>0.21</v>
      </c>
      <c r="K23" s="14">
        <f>2.52/J23*I18</f>
        <v>432</v>
      </c>
      <c r="L23" s="17"/>
    </row>
    <row r="24" spans="1:12">
      <c r="A24" s="18" t="s">
        <v>36</v>
      </c>
      <c r="B24" s="10" t="s">
        <v>37</v>
      </c>
      <c r="C24" s="11">
        <v>46223</v>
      </c>
      <c r="D24" s="12">
        <v>119</v>
      </c>
      <c r="E24" s="19">
        <v>8</v>
      </c>
      <c r="F24" s="14">
        <f>IF(E24=0,0,D24/E24)</f>
        <v>14.875</v>
      </c>
      <c r="G24" s="20">
        <f>IF(E24=0,0,SUMPRODUCT(F24:F26,J24:J26)/(I24*2.52))</f>
        <v>1.5564431913116121</v>
      </c>
      <c r="H24" s="21">
        <f>G24*I24*E24</f>
        <v>473.15873015873007</v>
      </c>
      <c r="I24" s="21">
        <v>38</v>
      </c>
      <c r="J24" s="12">
        <v>1.1499999999999999</v>
      </c>
      <c r="K24" s="14">
        <f>2.52/J24*I24</f>
        <v>83.269565217391317</v>
      </c>
      <c r="L24" s="17">
        <f>E24*I24</f>
        <v>304</v>
      </c>
    </row>
    <row r="25" spans="1:12">
      <c r="A25" s="18"/>
      <c r="B25" s="10" t="s">
        <v>37</v>
      </c>
      <c r="C25" s="11">
        <v>46223</v>
      </c>
      <c r="D25" s="12">
        <v>38</v>
      </c>
      <c r="E25" s="19"/>
      <c r="F25" s="14">
        <f>IF(E24=0,0,D25/E24)</f>
        <v>4.75</v>
      </c>
      <c r="G25" s="20"/>
      <c r="H25" s="21"/>
      <c r="I25" s="21"/>
      <c r="J25" s="12">
        <v>1.18</v>
      </c>
      <c r="K25" s="14">
        <f>2.52/J25*I24</f>
        <v>81.152542372881356</v>
      </c>
      <c r="L25" s="17"/>
    </row>
    <row r="26" spans="1:12">
      <c r="A26" s="18"/>
      <c r="B26" s="10" t="s">
        <v>38</v>
      </c>
      <c r="C26" s="11">
        <v>46238</v>
      </c>
      <c r="D26" s="12">
        <v>1713</v>
      </c>
      <c r="E26" s="19"/>
      <c r="F26" s="14">
        <f>IF(E24=0,0,D26/E24)</f>
        <v>214.125</v>
      </c>
      <c r="G26" s="20"/>
      <c r="H26" s="21"/>
      <c r="I26" s="21"/>
      <c r="J26" s="12">
        <v>0.59</v>
      </c>
      <c r="K26" s="14">
        <f>2.52/J26*I24</f>
        <v>162.30508474576271</v>
      </c>
      <c r="L26" s="17"/>
    </row>
    <row r="27" spans="1:12">
      <c r="A27" s="9" t="s">
        <v>39</v>
      </c>
      <c r="B27" s="10" t="s">
        <v>38</v>
      </c>
      <c r="C27" s="11">
        <v>46238</v>
      </c>
      <c r="D27" s="12">
        <v>1464</v>
      </c>
      <c r="E27" s="13">
        <v>8</v>
      </c>
      <c r="F27" s="14">
        <f>IF(E27=0,0,D27/E27)</f>
        <v>183</v>
      </c>
      <c r="G27" s="15">
        <f>IF(E27=0,0,SUMPRODUCT(F27:F27,J27:J27)/(I27*2.52))</f>
        <v>1.4774220032840724</v>
      </c>
      <c r="H27" s="16">
        <f>G27*I27*E27</f>
        <v>342.76190476190482</v>
      </c>
      <c r="I27" s="16">
        <v>29</v>
      </c>
      <c r="J27" s="12">
        <v>0.59</v>
      </c>
      <c r="K27" s="14">
        <f>2.52/J27*I27</f>
        <v>123.86440677966102</v>
      </c>
      <c r="L27" s="17">
        <f>E27*I27</f>
        <v>232</v>
      </c>
    </row>
    <row r="28" spans="1:12">
      <c r="A28" s="9" t="s">
        <v>40</v>
      </c>
      <c r="B28" s="10" t="s">
        <v>41</v>
      </c>
      <c r="C28" s="11">
        <v>46246</v>
      </c>
      <c r="D28" s="12">
        <v>272</v>
      </c>
      <c r="E28" s="13">
        <v>8</v>
      </c>
      <c r="F28" s="14">
        <f>IF(E28=0,0,D28/E28)</f>
        <v>34</v>
      </c>
      <c r="G28" s="15">
        <f>IF(E28=0,0,SUMPRODUCT(F28:F28,J28:J28)/(I28*2.52))</f>
        <v>0.53238953238953246</v>
      </c>
      <c r="H28" s="16">
        <f>G28*I28*E28</f>
        <v>157.5873015873016</v>
      </c>
      <c r="I28" s="16">
        <v>37</v>
      </c>
      <c r="J28" s="12">
        <v>1.46</v>
      </c>
      <c r="K28" s="14">
        <f>2.52/J28*I28</f>
        <v>63.863013698630141</v>
      </c>
      <c r="L28" s="17">
        <f>E28*I28</f>
        <v>296</v>
      </c>
    </row>
    <row r="29" spans="1:12">
      <c r="A29" s="9" t="s">
        <v>42</v>
      </c>
      <c r="B29" s="10" t="s">
        <v>43</v>
      </c>
      <c r="C29" s="11">
        <v>46227</v>
      </c>
      <c r="D29" s="12">
        <v>1217</v>
      </c>
      <c r="E29" s="13">
        <v>8</v>
      </c>
      <c r="F29" s="14">
        <f>IF(E29=0,0,D29/E29)</f>
        <v>152.125</v>
      </c>
      <c r="G29" s="15">
        <f>IF(E29=0,0,SUMPRODUCT(F29:F29,J29:J29)/(I29*2.52))</f>
        <v>1.6463744588744589</v>
      </c>
      <c r="H29" s="16">
        <f>G29*I29*E29</f>
        <v>434.64285714285717</v>
      </c>
      <c r="I29" s="16">
        <v>33</v>
      </c>
      <c r="J29" s="12">
        <v>0.9</v>
      </c>
      <c r="K29" s="14">
        <f>2.52/J29*I29</f>
        <v>92.399999999999991</v>
      </c>
      <c r="L29" s="17">
        <f>E29*I29</f>
        <v>264</v>
      </c>
    </row>
    <row r="30" spans="1:12">
      <c r="A30" s="9" t="s">
        <v>44</v>
      </c>
      <c r="B30" s="10" t="s">
        <v>45</v>
      </c>
      <c r="C30" s="11">
        <v>46246</v>
      </c>
      <c r="D30" s="12">
        <v>102</v>
      </c>
      <c r="E30" s="13">
        <v>8</v>
      </c>
      <c r="F30" s="14">
        <f>IF(E30=0,0,D30/E30)</f>
        <v>12.75</v>
      </c>
      <c r="G30" s="15">
        <f>IF(E30=0,0,SUMPRODUCT(F30:F30,J30:J30)/(I30*2.52))</f>
        <v>0.20648326898326902</v>
      </c>
      <c r="H30" s="16">
        <f>G30*I30*E30</f>
        <v>61.119047619047628</v>
      </c>
      <c r="I30" s="16">
        <v>37</v>
      </c>
      <c r="J30" s="12">
        <v>1.51</v>
      </c>
      <c r="K30" s="14">
        <f>2.52/J30*I30</f>
        <v>61.748344370860927</v>
      </c>
      <c r="L30" s="17">
        <f>E30*I30</f>
        <v>296</v>
      </c>
    </row>
    <row r="31" spans="1:12">
      <c r="A31" s="9" t="s">
        <v>46</v>
      </c>
      <c r="B31" s="10" t="s">
        <v>22</v>
      </c>
      <c r="C31" s="11">
        <v>46223</v>
      </c>
      <c r="D31" s="12">
        <v>1480</v>
      </c>
      <c r="E31" s="13">
        <v>8</v>
      </c>
      <c r="F31" s="14">
        <f>IF(E31=0,0,D31/E31)</f>
        <v>185</v>
      </c>
      <c r="G31" s="15">
        <f>IF(E31=0,0,SUMPRODUCT(F31:F31,J31:J31)/(I31*2.52))</f>
        <v>1.7857142857142858</v>
      </c>
      <c r="H31" s="16">
        <f>G31*I31*E31</f>
        <v>528.57142857142856</v>
      </c>
      <c r="I31" s="16">
        <v>37</v>
      </c>
      <c r="J31" s="12">
        <v>0.9</v>
      </c>
      <c r="K31" s="14">
        <f>2.52/J31*I31</f>
        <v>103.6</v>
      </c>
      <c r="L31" s="17">
        <f>E31*I31</f>
        <v>296</v>
      </c>
    </row>
    <row r="32" spans="1:12">
      <c r="A32" s="9" t="s">
        <v>47</v>
      </c>
      <c r="B32" s="10" t="s">
        <v>25</v>
      </c>
      <c r="C32" s="11">
        <v>46122</v>
      </c>
      <c r="D32" s="12">
        <v>1395</v>
      </c>
      <c r="E32" s="13">
        <v>8</v>
      </c>
      <c r="F32" s="14">
        <f>IF(E32=0,0,D32/E32)</f>
        <v>174.375</v>
      </c>
      <c r="G32" s="15">
        <f>IF(E32=0,0,SUMPRODUCT(F32:F32,J32:J32)/(I32*2.52))</f>
        <v>1.9636824324324325</v>
      </c>
      <c r="H32" s="16">
        <f>G32*I32*E32</f>
        <v>581.25</v>
      </c>
      <c r="I32" s="16">
        <v>37</v>
      </c>
      <c r="J32" s="12">
        <v>1.05</v>
      </c>
      <c r="K32" s="14">
        <f>2.52/J32*I32</f>
        <v>88.8</v>
      </c>
      <c r="L32" s="17">
        <f>E32*I32</f>
        <v>296</v>
      </c>
    </row>
    <row r="33" spans="1:12">
      <c r="A33" s="18" t="s">
        <v>48</v>
      </c>
      <c r="B33" s="10" t="s">
        <v>49</v>
      </c>
      <c r="C33" s="11">
        <v>46165</v>
      </c>
      <c r="D33" s="12">
        <v>76</v>
      </c>
      <c r="E33" s="19">
        <v>8</v>
      </c>
      <c r="F33" s="14">
        <f>IF(E33=0,0,D33/E33)</f>
        <v>9.5</v>
      </c>
      <c r="G33" s="20">
        <f>IF(E33=0,0,SUMPRODUCT(F33:F35,J33:J35)/(I33*2.52))</f>
        <v>0.88839285714285698</v>
      </c>
      <c r="H33" s="21">
        <f>G33*I33*E33</f>
        <v>270.0714285714285</v>
      </c>
      <c r="I33" s="21">
        <v>38</v>
      </c>
      <c r="J33" s="12">
        <v>0.81</v>
      </c>
      <c r="K33" s="14">
        <f>2.52/J33*I33</f>
        <v>118.2222222222222</v>
      </c>
      <c r="L33" s="17">
        <f>E33*I33</f>
        <v>304</v>
      </c>
    </row>
    <row r="34" spans="1:12">
      <c r="A34" s="18"/>
      <c r="B34" s="10" t="s">
        <v>49</v>
      </c>
      <c r="C34" s="11">
        <v>46165</v>
      </c>
      <c r="D34" s="12">
        <v>75</v>
      </c>
      <c r="E34" s="19"/>
      <c r="F34" s="14">
        <f>IF(E33=0,0,D34/E33)</f>
        <v>9.375</v>
      </c>
      <c r="G34" s="20"/>
      <c r="H34" s="21"/>
      <c r="I34" s="21"/>
      <c r="J34" s="12">
        <v>0.88</v>
      </c>
      <c r="K34" s="14">
        <f>2.52/J34*I33</f>
        <v>108.81818181818183</v>
      </c>
      <c r="L34" s="17"/>
    </row>
    <row r="35" spans="1:12">
      <c r="A35" s="18"/>
      <c r="B35" s="10" t="s">
        <v>14</v>
      </c>
      <c r="C35" s="11">
        <v>46244</v>
      </c>
      <c r="D35" s="12">
        <v>709</v>
      </c>
      <c r="E35" s="19"/>
      <c r="F35" s="14">
        <f>IF(E33=0,0,D35/E33)</f>
        <v>88.625</v>
      </c>
      <c r="G35" s="20"/>
      <c r="H35" s="21"/>
      <c r="I35" s="21"/>
      <c r="J35" s="12">
        <v>0.78</v>
      </c>
      <c r="K35" s="14">
        <f>2.52/J35*I33</f>
        <v>122.76923076923077</v>
      </c>
      <c r="L35" s="17"/>
    </row>
    <row r="36" spans="1:12">
      <c r="A36" s="9" t="s">
        <v>50</v>
      </c>
      <c r="B36" s="10" t="s">
        <v>51</v>
      </c>
      <c r="C36" s="11">
        <v>46210</v>
      </c>
      <c r="D36" s="12">
        <v>1260</v>
      </c>
      <c r="E36" s="13">
        <v>8</v>
      </c>
      <c r="F36" s="14">
        <f>IF(E36=0,0,D36/E36)</f>
        <v>157.5</v>
      </c>
      <c r="G36" s="15">
        <f>IF(E36=0,0,SUMPRODUCT(F36:F36,J36:J36)/(I36*2.52))</f>
        <v>2.2861842105263155</v>
      </c>
      <c r="H36" s="16">
        <f>G36*I36*E36</f>
        <v>694.99999999999989</v>
      </c>
      <c r="I36" s="16">
        <v>38</v>
      </c>
      <c r="J36" s="12">
        <v>1.39</v>
      </c>
      <c r="K36" s="14">
        <f>2.52/J36*I36</f>
        <v>68.892086330935257</v>
      </c>
      <c r="L36" s="17">
        <f>E36*I36</f>
        <v>304</v>
      </c>
    </row>
    <row r="37" spans="1:12">
      <c r="A37" s="9" t="s">
        <v>52</v>
      </c>
      <c r="B37" s="10" t="s">
        <v>43</v>
      </c>
      <c r="C37" s="11">
        <v>46227</v>
      </c>
      <c r="D37" s="12">
        <v>1469</v>
      </c>
      <c r="E37" s="13">
        <v>8</v>
      </c>
      <c r="F37" s="14">
        <f>IF(E37=0,0,D37/E37)</f>
        <v>183.625</v>
      </c>
      <c r="G37" s="15">
        <f>IF(E37=0,0,SUMPRODUCT(F37:F37,J37:J37)/(I37*2.52))</f>
        <v>1.7724420849420852</v>
      </c>
      <c r="H37" s="16">
        <f>G37*I37*E37</f>
        <v>524.64285714285722</v>
      </c>
      <c r="I37" s="16">
        <v>37</v>
      </c>
      <c r="J37" s="12">
        <v>0.9</v>
      </c>
      <c r="K37" s="14">
        <f>2.52/J37*I37</f>
        <v>103.6</v>
      </c>
      <c r="L37" s="17">
        <f>E37*I37</f>
        <v>296</v>
      </c>
    </row>
    <row r="38" spans="1:12">
      <c r="A38" s="9" t="s">
        <v>53</v>
      </c>
      <c r="B38" s="10" t="s">
        <v>27</v>
      </c>
      <c r="C38" s="11">
        <v>46221</v>
      </c>
      <c r="D38" s="12">
        <v>1127</v>
      </c>
      <c r="E38" s="13">
        <v>8</v>
      </c>
      <c r="F38" s="14">
        <f>IF(E38=0,0,D38/E38)</f>
        <v>140.875</v>
      </c>
      <c r="G38" s="15">
        <f>IF(E38=0,0,SUMPRODUCT(F38:F38,J38:J38)/(I38*2.52))</f>
        <v>1.8281719219219221</v>
      </c>
      <c r="H38" s="16">
        <f>G38*I38*E38</f>
        <v>541.13888888888891</v>
      </c>
      <c r="I38" s="16">
        <v>37</v>
      </c>
      <c r="J38" s="12">
        <v>1.21</v>
      </c>
      <c r="K38" s="14">
        <f>2.52/J38*I38</f>
        <v>77.057851239669432</v>
      </c>
      <c r="L38" s="17">
        <f>E38*I38</f>
        <v>296</v>
      </c>
    </row>
    <row r="39" spans="1:12">
      <c r="A39" s="22" t="s">
        <v>54</v>
      </c>
      <c r="B39" s="23"/>
      <c r="C39" s="24"/>
      <c r="D39" s="25">
        <f>SUM(D5:D38)</f>
        <v>33012</v>
      </c>
      <c r="E39" s="26">
        <f>SUM(E5:E38)</f>
        <v>160</v>
      </c>
      <c r="F39" s="27"/>
      <c r="G39" s="28">
        <f>SUM(H5:H38)/L39</f>
        <v>1.6168075863355944</v>
      </c>
      <c r="H39" s="25"/>
      <c r="I39" s="25">
        <f>SUM(I5:I38)</f>
        <v>723</v>
      </c>
      <c r="J39" s="25"/>
      <c r="K39" s="27"/>
      <c r="L39" s="29">
        <f>SUM(L5:L38)</f>
        <v>5784</v>
      </c>
    </row>
    <row r="40" spans="1:12" ht="13.5" thickBot="1">
      <c r="A40" s="30" t="s">
        <v>55</v>
      </c>
      <c r="B40" s="31"/>
      <c r="C40" s="32"/>
      <c r="D40" s="33">
        <f>SUMIF(A5:A39, "&lt;&gt;Summary", D5:D39)</f>
        <v>33012</v>
      </c>
      <c r="E40" s="34">
        <f>SUMIF(A5:A39, "&lt;&gt;Summary", E5:E39)</f>
        <v>160</v>
      </c>
      <c r="F40" s="35"/>
      <c r="G40" s="36">
        <f>SUMIF(A5:A39, "&lt;&gt;Summary", H5:H39)/L40</f>
        <v>1.6168075863355944</v>
      </c>
      <c r="H40" s="33"/>
      <c r="I40" s="33">
        <f>SUMIF(A5:A39, "&lt;&gt;Summary", I5:I39)</f>
        <v>723</v>
      </c>
      <c r="J40" s="33"/>
      <c r="K40" s="35"/>
      <c r="L40" s="37">
        <f>SUMIF(A5:A39, "&lt;&gt;Summary", L5:L39)</f>
        <v>5784</v>
      </c>
    </row>
    <row r="41" spans="1:12" ht="13.5" thickTop="1"/>
  </sheetData>
  <mergeCells count="49">
    <mergeCell ref="A40:C40"/>
    <mergeCell ref="A33:A35"/>
    <mergeCell ref="E33:E35"/>
    <mergeCell ref="G33:G35"/>
    <mergeCell ref="H33:H35"/>
    <mergeCell ref="I33:I35"/>
    <mergeCell ref="A39:C39"/>
    <mergeCell ref="A18:A23"/>
    <mergeCell ref="E18:E23"/>
    <mergeCell ref="G18:G23"/>
    <mergeCell ref="H18:H23"/>
    <mergeCell ref="I18:I23"/>
    <mergeCell ref="A24:A26"/>
    <mergeCell ref="E24:E26"/>
    <mergeCell ref="G24:G26"/>
    <mergeCell ref="H24:H26"/>
    <mergeCell ref="I24:I26"/>
    <mergeCell ref="A10:A12"/>
    <mergeCell ref="E10:E12"/>
    <mergeCell ref="G10:G12"/>
    <mergeCell ref="H10:H12"/>
    <mergeCell ref="I10:I12"/>
    <mergeCell ref="A16:A17"/>
    <mergeCell ref="E16:E17"/>
    <mergeCell ref="G16:G17"/>
    <mergeCell ref="H16:H17"/>
    <mergeCell ref="I16:I17"/>
    <mergeCell ref="A6:A7"/>
    <mergeCell ref="E6:E7"/>
    <mergeCell ref="G6:G7"/>
    <mergeCell ref="H6:H7"/>
    <mergeCell ref="I6:I7"/>
    <mergeCell ref="A8:A9"/>
    <mergeCell ref="E8:E9"/>
    <mergeCell ref="G8:G9"/>
    <mergeCell ref="H8:H9"/>
    <mergeCell ref="I8:I9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scale="83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cp:lastPrinted>2026-08-14T01:34:09Z</cp:lastPrinted>
  <dcterms:created xsi:type="dcterms:W3CDTF">2026-08-14T01:33:32Z</dcterms:created>
  <dcterms:modified xsi:type="dcterms:W3CDTF">2026-08-14T01:44:45Z</dcterms:modified>
</cp:coreProperties>
</file>