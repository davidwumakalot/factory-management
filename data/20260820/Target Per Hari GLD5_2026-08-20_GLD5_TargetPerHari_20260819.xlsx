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E31" i="1"/>
  <c r="F17"/>
  <c r="F15"/>
  <c r="F10"/>
  <c r="F6"/>
  <c r="F7"/>
  <c r="F8"/>
  <c r="F9"/>
  <c r="F12"/>
  <c r="F13"/>
  <c r="F31" s="1"/>
  <c r="F14"/>
  <c r="F19"/>
  <c r="F20"/>
  <c r="F21"/>
  <c r="F22"/>
  <c r="F23"/>
  <c r="F24"/>
  <c r="F25"/>
  <c r="F26"/>
  <c r="F27"/>
  <c r="F28"/>
  <c r="F29"/>
  <c r="F30"/>
  <c r="F5"/>
  <c r="D38"/>
  <c r="D37"/>
  <c r="D36"/>
  <c r="D35"/>
  <c r="O33"/>
  <c r="I33" s="1"/>
  <c r="L33"/>
  <c r="G33"/>
  <c r="D33"/>
  <c r="O31"/>
  <c r="I31" s="1"/>
  <c r="L31"/>
  <c r="G31"/>
  <c r="D31"/>
  <c r="O28"/>
  <c r="K28"/>
  <c r="I28"/>
  <c r="N30"/>
  <c r="H30"/>
  <c r="N29"/>
  <c r="H29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3"/>
  <c r="K23"/>
  <c r="I23"/>
  <c r="N23"/>
  <c r="H23"/>
  <c r="O21"/>
  <c r="K21"/>
  <c r="I21"/>
  <c r="N22"/>
  <c r="H22"/>
  <c r="N21"/>
  <c r="H21"/>
  <c r="O20"/>
  <c r="K20"/>
  <c r="I20"/>
  <c r="N20"/>
  <c r="H20"/>
  <c r="O19"/>
  <c r="K19"/>
  <c r="I19"/>
  <c r="N19"/>
  <c r="H19"/>
  <c r="O17"/>
  <c r="K17"/>
  <c r="I17"/>
  <c r="N18"/>
  <c r="H18"/>
  <c r="N17"/>
  <c r="H17"/>
  <c r="O15"/>
  <c r="K15"/>
  <c r="I15"/>
  <c r="N16"/>
  <c r="H16"/>
  <c r="N15"/>
  <c r="H15"/>
  <c r="O14"/>
  <c r="K14"/>
  <c r="I14"/>
  <c r="N14"/>
  <c r="H14"/>
  <c r="O13"/>
  <c r="K13"/>
  <c r="I13"/>
  <c r="N13"/>
  <c r="H13"/>
  <c r="O12"/>
  <c r="K12"/>
  <c r="I12"/>
  <c r="N12"/>
  <c r="H12"/>
  <c r="O10"/>
  <c r="K10"/>
  <c r="I10"/>
  <c r="N11"/>
  <c r="H11"/>
  <c r="N10"/>
  <c r="H10"/>
  <c r="O9"/>
  <c r="K9"/>
  <c r="I9"/>
  <c r="N9"/>
  <c r="H9"/>
  <c r="O8"/>
  <c r="K8"/>
  <c r="I8"/>
  <c r="N8"/>
  <c r="H8"/>
  <c r="O7"/>
  <c r="K7"/>
  <c r="I7"/>
  <c r="N7"/>
  <c r="H7"/>
  <c r="O6"/>
  <c r="K6"/>
  <c r="I6"/>
  <c r="N6"/>
  <c r="H6"/>
  <c r="O5"/>
  <c r="K5"/>
  <c r="I5"/>
  <c r="N5"/>
  <c r="H5"/>
</calcChain>
</file>

<file path=xl/sharedStrings.xml><?xml version="1.0" encoding="utf-8"?>
<sst xmlns="http://schemas.openxmlformats.org/spreadsheetml/2006/main" count="68" uniqueCount="56">
  <si>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</si>
  <si>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</si>
  <si>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</si>
  <si>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</si>
  <si>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</si>
  <si>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</si>
  <si>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</si>
  <si>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</si>
  <si>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</si>
  <si>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</si>
  <si>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</si>
  <si>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</si>
  <si>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</si>
  <si>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</si>
  <si>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</si>
  <si>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</si>
  <si>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</si>
  <si>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</si>
  <si>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</si>
  <si>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</si>
  <si>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</si>
  <si>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</si>
  <si>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</si>
  <si>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</si>
  <si>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</si>
  <si>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</si>
  <si>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</si>
  <si>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</si>
  <si>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</si>
  <si>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</si>
  <si>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</si>
  <si>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</si>
  <si>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</si>
  <si>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</si>
  <si>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MX6FK108_HO26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</si>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</sst>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/>
    <xf numFmtId="167" fontId="1" fillId="2" borderId="5" xfId="0" applyNumberFormat="1" applyFont="1" applyFill="1" applyBorder="1"/>
    <xf numFmtId="167" fontId="1" fillId="0" borderId="5" xfId="0" applyNumberFormat="1" applyFont="1" applyBorder="1"/>
    <xf numFmtId="0" fontId="1" fillId="2" borderId="8" xfId="0" applyFont="1" applyFill="1" applyBorder="1"/>
    <xf numFmtId="167" fontId="1" fillId="2" borderId="8" xfId="0" applyNumberFormat="1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/>
    <xf numFmtId="0" fontId="1" fillId="0" borderId="12" xfId="0" applyFont="1" applyBorder="1" applyAlignment="1">
      <alignment vertical="center"/>
    </xf>
    <xf numFmtId="0" fontId="1" fillId="0" borderId="12" xfId="0" applyFont="1" applyBorder="1" applyAlignment="1"/>
    <xf numFmtId="0" fontId="1" fillId="0" borderId="11" xfId="0" applyFont="1" applyBorder="1" applyAlignment="1">
      <alignment vertical="center"/>
    </xf>
    <xf numFmtId="0" fontId="1" fillId="0" borderId="11" xfId="0" applyFont="1" applyBorder="1" applyAlignment="1"/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tabSelected="1" workbookViewId="0">
      <pane ySplit="4" topLeftCell="A5" activePane="bottomLeft" state="frozen"/>
      <selection pane="bottomLeft" activeCell="B8" sqref="B8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42" hidden="1" customWidth="1"/>
    <col min="7" max="8" width="8.7109375" style="1" customWidth="1"/>
    <col min="9" max="9" width="10.7109375" style="1" customWidth="1"/>
    <col min="10" max="10" width="13.42578125" style="42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46253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1" t="s">
        <v>53</v>
      </c>
      <c r="F3" s="41" t="s">
        <v>54</v>
      </c>
      <c r="G3" s="35" t="s">
        <v>5</v>
      </c>
      <c r="H3" s="35" t="s">
        <v>6</v>
      </c>
      <c r="I3" s="35" t="s">
        <v>7</v>
      </c>
      <c r="J3" s="41" t="s">
        <v>55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52"/>
      <c r="F4" s="52"/>
      <c r="G4" s="36"/>
      <c r="H4" s="36"/>
      <c r="I4" s="36"/>
      <c r="J4" s="52"/>
      <c r="K4" s="36"/>
      <c r="L4" s="36"/>
      <c r="M4" s="36"/>
      <c r="N4" s="36"/>
      <c r="O4" s="38"/>
    </row>
    <row r="5" spans="1:15" ht="17.25" customHeight="1">
      <c r="A5" s="3" t="s">
        <v>13</v>
      </c>
      <c r="B5" s="4" t="s">
        <v>14</v>
      </c>
      <c r="C5" s="5">
        <v>46238</v>
      </c>
      <c r="D5" s="53">
        <v>1403</v>
      </c>
      <c r="E5" s="53">
        <v>1403</v>
      </c>
      <c r="F5" s="54">
        <f>D5-E5</f>
        <v>0</v>
      </c>
      <c r="G5" s="7">
        <v>8</v>
      </c>
      <c r="H5" s="8">
        <f t="shared" ref="H5:H10" si="0">IF(G5=0,0,D5/G5)</f>
        <v>175.375</v>
      </c>
      <c r="I5" s="9">
        <f>IF(G5=0,0,SUMPRODUCT(H5:H5,M5:M5)/(L5*2.52))</f>
        <v>1.6363819176319176</v>
      </c>
      <c r="J5" s="44">
        <v>1.55</v>
      </c>
      <c r="K5" s="10">
        <f t="shared" ref="K5:K10" si="1">I5*L5*G5</f>
        <v>484.36904761904765</v>
      </c>
      <c r="L5" s="10">
        <v>37</v>
      </c>
      <c r="M5" s="6">
        <v>0.87</v>
      </c>
      <c r="N5" s="8">
        <f t="shared" ref="N5:N10" si="2">2.52/M5*L5</f>
        <v>107.17241379310344</v>
      </c>
      <c r="O5" s="11">
        <f t="shared" ref="O5:O10" si="3">G5*L5</f>
        <v>296</v>
      </c>
    </row>
    <row r="6" spans="1:15" ht="17.25" customHeight="1">
      <c r="A6" s="3" t="s">
        <v>15</v>
      </c>
      <c r="B6" s="4" t="s">
        <v>14</v>
      </c>
      <c r="C6" s="5">
        <v>46198</v>
      </c>
      <c r="D6" s="53">
        <v>1542</v>
      </c>
      <c r="E6" s="53">
        <v>1536</v>
      </c>
      <c r="F6" s="54">
        <f t="shared" ref="F6:F30" si="4">D6-E6</f>
        <v>6</v>
      </c>
      <c r="G6" s="7">
        <v>8</v>
      </c>
      <c r="H6" s="8">
        <f t="shared" si="0"/>
        <v>192.75</v>
      </c>
      <c r="I6" s="9">
        <f>IF(G6=0,0,SUMPRODUCT(H6:H6,M6:M6)/(L6*2.52))</f>
        <v>1.8484623015873016</v>
      </c>
      <c r="J6" s="44">
        <v>1.9</v>
      </c>
      <c r="K6" s="10">
        <f t="shared" si="1"/>
        <v>532.35714285714289</v>
      </c>
      <c r="L6" s="10">
        <v>36</v>
      </c>
      <c r="M6" s="6">
        <v>0.87</v>
      </c>
      <c r="N6" s="8">
        <f t="shared" si="2"/>
        <v>104.27586206896552</v>
      </c>
      <c r="O6" s="11">
        <f t="shared" si="3"/>
        <v>288</v>
      </c>
    </row>
    <row r="7" spans="1:15" ht="17.25" customHeight="1">
      <c r="A7" s="3" t="s">
        <v>16</v>
      </c>
      <c r="B7" s="4" t="s">
        <v>17</v>
      </c>
      <c r="C7" s="5">
        <v>46245</v>
      </c>
      <c r="D7" s="53">
        <v>607</v>
      </c>
      <c r="E7" s="53">
        <v>600</v>
      </c>
      <c r="F7" s="54">
        <f t="shared" si="4"/>
        <v>7</v>
      </c>
      <c r="G7" s="7">
        <v>8</v>
      </c>
      <c r="H7" s="8">
        <f t="shared" si="0"/>
        <v>75.875</v>
      </c>
      <c r="I7" s="9">
        <f>IF(G7=0,0,SUMPRODUCT(H7:H7,M7:M7)/(L7*2.52))</f>
        <v>1.3345667095667095</v>
      </c>
      <c r="J7" s="44">
        <v>1.1000000000000001</v>
      </c>
      <c r="K7" s="10">
        <f t="shared" si="1"/>
        <v>395.03174603174602</v>
      </c>
      <c r="L7" s="10">
        <v>37</v>
      </c>
      <c r="M7" s="6">
        <v>1.64</v>
      </c>
      <c r="N7" s="8">
        <f t="shared" si="2"/>
        <v>56.853658536585364</v>
      </c>
      <c r="O7" s="11">
        <f t="shared" si="3"/>
        <v>296</v>
      </c>
    </row>
    <row r="8" spans="1:15" ht="17.25" customHeight="1">
      <c r="A8" s="3" t="s">
        <v>18</v>
      </c>
      <c r="B8" s="4" t="s">
        <v>14</v>
      </c>
      <c r="C8" s="5">
        <v>46219</v>
      </c>
      <c r="D8" s="53">
        <v>1570</v>
      </c>
      <c r="E8" s="53">
        <v>1570</v>
      </c>
      <c r="F8" s="54">
        <f t="shared" si="4"/>
        <v>0</v>
      </c>
      <c r="G8" s="7">
        <v>8</v>
      </c>
      <c r="H8" s="8">
        <f t="shared" si="0"/>
        <v>196.25</v>
      </c>
      <c r="I8" s="9">
        <f>IF(G8=0,0,SUMPRODUCT(H8:H8,M8:M8)/(L8*2.52))</f>
        <v>1.8820271164021165</v>
      </c>
      <c r="J8" s="44">
        <v>1.95</v>
      </c>
      <c r="K8" s="10">
        <f t="shared" si="1"/>
        <v>542.02380952380952</v>
      </c>
      <c r="L8" s="10">
        <v>36</v>
      </c>
      <c r="M8" s="6">
        <v>0.87</v>
      </c>
      <c r="N8" s="8">
        <f t="shared" si="2"/>
        <v>104.27586206896552</v>
      </c>
      <c r="O8" s="11">
        <f t="shared" si="3"/>
        <v>288</v>
      </c>
    </row>
    <row r="9" spans="1:15" ht="17.25" customHeight="1">
      <c r="A9" s="3" t="s">
        <v>19</v>
      </c>
      <c r="B9" s="4" t="s">
        <v>20</v>
      </c>
      <c r="C9" s="5">
        <v>46213</v>
      </c>
      <c r="D9" s="53">
        <v>761</v>
      </c>
      <c r="E9" s="53">
        <v>751</v>
      </c>
      <c r="F9" s="54">
        <f t="shared" si="4"/>
        <v>10</v>
      </c>
      <c r="G9" s="7">
        <v>8</v>
      </c>
      <c r="H9" s="8">
        <f t="shared" si="0"/>
        <v>95.125</v>
      </c>
      <c r="I9" s="9">
        <f>IF(G9=0,0,SUMPRODUCT(H9:H9,M9:M9)/(L9*2.52))</f>
        <v>2.0950148809523812</v>
      </c>
      <c r="J9" s="44">
        <v>2.1</v>
      </c>
      <c r="K9" s="10">
        <f t="shared" si="1"/>
        <v>670.40476190476193</v>
      </c>
      <c r="L9" s="10">
        <v>40</v>
      </c>
      <c r="M9" s="6">
        <v>2.2200000000000002</v>
      </c>
      <c r="N9" s="8">
        <f t="shared" si="2"/>
        <v>45.405405405405403</v>
      </c>
      <c r="O9" s="11">
        <f t="shared" si="3"/>
        <v>320</v>
      </c>
    </row>
    <row r="10" spans="1:15" ht="17.25" customHeight="1">
      <c r="A10" s="28" t="s">
        <v>21</v>
      </c>
      <c r="B10" s="4" t="s">
        <v>20</v>
      </c>
      <c r="C10" s="5">
        <v>46207</v>
      </c>
      <c r="D10" s="53">
        <v>669</v>
      </c>
      <c r="E10" s="55">
        <v>690</v>
      </c>
      <c r="F10" s="56">
        <f>D10+D11-E10</f>
        <v>4</v>
      </c>
      <c r="G10" s="29">
        <v>8</v>
      </c>
      <c r="H10" s="8">
        <f t="shared" si="0"/>
        <v>83.625</v>
      </c>
      <c r="I10" s="30">
        <f>IF(G10=0,0,SUMPRODUCT(H10:H11,M10:M11)/(L10*2.52))</f>
        <v>2.0681574431574434</v>
      </c>
      <c r="J10" s="59">
        <v>2.1</v>
      </c>
      <c r="K10" s="31">
        <f t="shared" si="1"/>
        <v>612.17460317460325</v>
      </c>
      <c r="L10" s="31">
        <v>37</v>
      </c>
      <c r="M10" s="6">
        <v>2.2200000000000002</v>
      </c>
      <c r="N10" s="8">
        <f t="shared" si="2"/>
        <v>42</v>
      </c>
      <c r="O10" s="11">
        <f t="shared" si="3"/>
        <v>296</v>
      </c>
    </row>
    <row r="11" spans="1:15" ht="17.25" customHeight="1">
      <c r="A11" s="28"/>
      <c r="B11" s="4" t="s">
        <v>20</v>
      </c>
      <c r="C11" s="5">
        <v>46207</v>
      </c>
      <c r="D11" s="53">
        <v>25</v>
      </c>
      <c r="E11" s="57"/>
      <c r="F11" s="58"/>
      <c r="G11" s="29"/>
      <c r="H11" s="8">
        <f>IF(G10=0,0,D11/G10)</f>
        <v>3.125</v>
      </c>
      <c r="I11" s="30"/>
      <c r="J11" s="60"/>
      <c r="K11" s="31"/>
      <c r="L11" s="31"/>
      <c r="M11" s="6">
        <v>2.2999999999999998</v>
      </c>
      <c r="N11" s="8">
        <f>2.52/M11*L10</f>
        <v>40.539130434782614</v>
      </c>
      <c r="O11" s="11"/>
    </row>
    <row r="12" spans="1:15" ht="17.25" customHeight="1">
      <c r="A12" s="3" t="s">
        <v>22</v>
      </c>
      <c r="B12" s="4" t="s">
        <v>23</v>
      </c>
      <c r="C12" s="5">
        <v>46245</v>
      </c>
      <c r="D12" s="53">
        <v>794</v>
      </c>
      <c r="E12" s="53">
        <v>800</v>
      </c>
      <c r="F12" s="54">
        <f t="shared" si="4"/>
        <v>-6</v>
      </c>
      <c r="G12" s="7">
        <v>8</v>
      </c>
      <c r="H12" s="8">
        <f>IF(G12=0,0,D12/G12)</f>
        <v>99.25</v>
      </c>
      <c r="I12" s="9">
        <f>IF(G12=0,0,SUMPRODUCT(H12:H12,M12:M12)/(L12*2.52))</f>
        <v>1.2644632414369255</v>
      </c>
      <c r="J12" s="44">
        <v>1.3</v>
      </c>
      <c r="K12" s="10">
        <f>I12*L12*G12</f>
        <v>384.39682539682536</v>
      </c>
      <c r="L12" s="10">
        <v>38</v>
      </c>
      <c r="M12" s="6">
        <v>1.22</v>
      </c>
      <c r="N12" s="8">
        <f>2.52/M12*L12</f>
        <v>78.491803278688522</v>
      </c>
      <c r="O12" s="11">
        <f>G12*L12</f>
        <v>304</v>
      </c>
    </row>
    <row r="13" spans="1:15" ht="17.25" customHeight="1">
      <c r="A13" s="3" t="s">
        <v>24</v>
      </c>
      <c r="B13" s="4" t="s">
        <v>25</v>
      </c>
      <c r="C13" s="5">
        <v>46239</v>
      </c>
      <c r="D13" s="53">
        <v>554</v>
      </c>
      <c r="E13" s="53">
        <v>560</v>
      </c>
      <c r="F13" s="54">
        <f t="shared" si="4"/>
        <v>-6</v>
      </c>
      <c r="G13" s="7">
        <v>8</v>
      </c>
      <c r="H13" s="8">
        <f>IF(G13=0,0,D13/G13)</f>
        <v>69.25</v>
      </c>
      <c r="I13" s="9">
        <f>IF(G13=0,0,SUMPRODUCT(H13:H13,M13:M13)/(L13*2.52))</f>
        <v>1.2583020050125313</v>
      </c>
      <c r="J13" s="44">
        <v>1.1499999999999999</v>
      </c>
      <c r="K13" s="10">
        <f>I13*L13*G13</f>
        <v>382.52380952380952</v>
      </c>
      <c r="L13" s="10">
        <v>38</v>
      </c>
      <c r="M13" s="6">
        <v>1.74</v>
      </c>
      <c r="N13" s="8">
        <f>2.52/M13*L13</f>
        <v>55.03448275862069</v>
      </c>
      <c r="O13" s="11">
        <f>G13*L13</f>
        <v>304</v>
      </c>
    </row>
    <row r="14" spans="1:15" ht="17.25" customHeight="1">
      <c r="A14" s="3" t="s">
        <v>26</v>
      </c>
      <c r="B14" s="4" t="s">
        <v>25</v>
      </c>
      <c r="C14" s="5">
        <v>46240</v>
      </c>
      <c r="D14" s="53">
        <v>578</v>
      </c>
      <c r="E14" s="53">
        <v>565</v>
      </c>
      <c r="F14" s="54">
        <f t="shared" si="4"/>
        <v>13</v>
      </c>
      <c r="G14" s="7">
        <v>8</v>
      </c>
      <c r="H14" s="8">
        <f>IF(G14=0,0,D14/G14)</f>
        <v>72.25</v>
      </c>
      <c r="I14" s="9">
        <f>IF(G14=0,0,SUMPRODUCT(H14:H14,M14:M14)/(L14*2.52))</f>
        <v>1.3128132832080199</v>
      </c>
      <c r="J14" s="44">
        <v>1.2</v>
      </c>
      <c r="K14" s="10">
        <f>I14*L14*G14</f>
        <v>399.09523809523807</v>
      </c>
      <c r="L14" s="10">
        <v>38</v>
      </c>
      <c r="M14" s="6">
        <v>1.74</v>
      </c>
      <c r="N14" s="8">
        <f>2.52/M14*L14</f>
        <v>55.03448275862069</v>
      </c>
      <c r="O14" s="11">
        <f>G14*L14</f>
        <v>304</v>
      </c>
    </row>
    <row r="15" spans="1:15" ht="17.25" customHeight="1">
      <c r="A15" s="28" t="s">
        <v>27</v>
      </c>
      <c r="B15" s="4" t="s">
        <v>28</v>
      </c>
      <c r="C15" s="5">
        <v>46157</v>
      </c>
      <c r="D15" s="53">
        <v>1199</v>
      </c>
      <c r="E15" s="55">
        <v>1202</v>
      </c>
      <c r="F15" s="56">
        <f>D15+D16-E15</f>
        <v>0</v>
      </c>
      <c r="G15" s="29">
        <v>8</v>
      </c>
      <c r="H15" s="8">
        <f>IF(G15=0,0,D15/G15)</f>
        <v>149.875</v>
      </c>
      <c r="I15" s="30">
        <f>IF(G15=0,0,SUMPRODUCT(H15:H16,M15:M16)/(L15*2.52))</f>
        <v>1.8346688034188035</v>
      </c>
      <c r="J15" s="59">
        <v>1.85</v>
      </c>
      <c r="K15" s="31">
        <f>I15*L15*G15</f>
        <v>572.41666666666663</v>
      </c>
      <c r="L15" s="31">
        <v>39</v>
      </c>
      <c r="M15" s="6">
        <v>1.2</v>
      </c>
      <c r="N15" s="8">
        <f>2.52/M15*L15</f>
        <v>81.900000000000006</v>
      </c>
      <c r="O15" s="11">
        <f>G15*L15</f>
        <v>312</v>
      </c>
    </row>
    <row r="16" spans="1:15" ht="17.25" customHeight="1">
      <c r="A16" s="28"/>
      <c r="B16" s="4" t="s">
        <v>28</v>
      </c>
      <c r="C16" s="5">
        <v>46157</v>
      </c>
      <c r="D16" s="53">
        <v>3</v>
      </c>
      <c r="E16" s="57"/>
      <c r="F16" s="58"/>
      <c r="G16" s="29"/>
      <c r="H16" s="8">
        <f>IF(G15=0,0,D16/G15)</f>
        <v>0.375</v>
      </c>
      <c r="I16" s="30"/>
      <c r="J16" s="60"/>
      <c r="K16" s="31"/>
      <c r="L16" s="31"/>
      <c r="M16" s="6">
        <v>1.23</v>
      </c>
      <c r="N16" s="8">
        <f>2.52/M16*L15</f>
        <v>79.902439024390247</v>
      </c>
      <c r="O16" s="11"/>
    </row>
    <row r="17" spans="1:15" ht="17.25" customHeight="1">
      <c r="A17" s="28" t="s">
        <v>29</v>
      </c>
      <c r="B17" s="4" t="s">
        <v>30</v>
      </c>
      <c r="C17" s="5">
        <v>46154</v>
      </c>
      <c r="D17" s="53">
        <v>754</v>
      </c>
      <c r="E17" s="55">
        <v>773</v>
      </c>
      <c r="F17" s="56">
        <f>D17+D18-E17</f>
        <v>-8</v>
      </c>
      <c r="G17" s="29">
        <v>8</v>
      </c>
      <c r="H17" s="8">
        <f>IF(G17=0,0,D17/G17)</f>
        <v>94.25</v>
      </c>
      <c r="I17" s="30">
        <f>IF(G17=0,0,SUMPRODUCT(H17:H18,M17:M18)/(L17*2.52))</f>
        <v>2.3278639306599835</v>
      </c>
      <c r="J17" s="59">
        <v>2.2999999999999998</v>
      </c>
      <c r="K17" s="31">
        <f>I17*L17*G17</f>
        <v>707.67063492063494</v>
      </c>
      <c r="L17" s="31">
        <v>38</v>
      </c>
      <c r="M17" s="6">
        <v>2.33</v>
      </c>
      <c r="N17" s="8">
        <f>2.52/M17*L17</f>
        <v>41.098712446351925</v>
      </c>
      <c r="O17" s="11">
        <f>G17*L17</f>
        <v>304</v>
      </c>
    </row>
    <row r="18" spans="1:15" ht="17.25" customHeight="1">
      <c r="A18" s="28"/>
      <c r="B18" s="4" t="s">
        <v>30</v>
      </c>
      <c r="C18" s="5">
        <v>46154</v>
      </c>
      <c r="D18" s="53">
        <v>11</v>
      </c>
      <c r="E18" s="57"/>
      <c r="F18" s="58"/>
      <c r="G18" s="29"/>
      <c r="H18" s="8">
        <f>IF(G17=0,0,D18/G17)</f>
        <v>1.375</v>
      </c>
      <c r="I18" s="30"/>
      <c r="J18" s="60"/>
      <c r="K18" s="31"/>
      <c r="L18" s="31"/>
      <c r="M18" s="6">
        <v>2.41</v>
      </c>
      <c r="N18" s="8">
        <f>2.52/M18*L17</f>
        <v>39.73443983402489</v>
      </c>
      <c r="O18" s="11"/>
    </row>
    <row r="19" spans="1:15" ht="17.25" customHeight="1">
      <c r="A19" s="3" t="s">
        <v>31</v>
      </c>
      <c r="B19" s="4" t="s">
        <v>32</v>
      </c>
      <c r="C19" s="5">
        <v>46235</v>
      </c>
      <c r="D19" s="53">
        <v>889</v>
      </c>
      <c r="E19" s="53">
        <v>883</v>
      </c>
      <c r="F19" s="54">
        <f t="shared" si="4"/>
        <v>6</v>
      </c>
      <c r="G19" s="7">
        <v>8</v>
      </c>
      <c r="H19" s="8">
        <f>IF(G19=0,0,D19/G19)</f>
        <v>111.125</v>
      </c>
      <c r="I19" s="9">
        <f>IF(G19=0,0,SUMPRODUCT(H19:H19,M19:M19)/(L19*2.52))</f>
        <v>1.3825075075075075</v>
      </c>
      <c r="J19" s="44">
        <v>1.3</v>
      </c>
      <c r="K19" s="10">
        <f>I19*L19*G19</f>
        <v>409.22222222222223</v>
      </c>
      <c r="L19" s="10">
        <v>37</v>
      </c>
      <c r="M19" s="6">
        <v>1.1599999999999999</v>
      </c>
      <c r="N19" s="8">
        <f>2.52/M19*L19</f>
        <v>80.379310344827587</v>
      </c>
      <c r="O19" s="11">
        <f>G19*L19</f>
        <v>296</v>
      </c>
    </row>
    <row r="20" spans="1:15" ht="17.25" customHeight="1">
      <c r="A20" s="3" t="s">
        <v>33</v>
      </c>
      <c r="B20" s="4" t="s">
        <v>34</v>
      </c>
      <c r="C20" s="5">
        <v>46220</v>
      </c>
      <c r="D20" s="53">
        <v>633</v>
      </c>
      <c r="E20" s="53">
        <v>630</v>
      </c>
      <c r="F20" s="54">
        <f t="shared" si="4"/>
        <v>3</v>
      </c>
      <c r="G20" s="7">
        <v>8</v>
      </c>
      <c r="H20" s="8">
        <f>IF(G20=0,0,D20/G20)</f>
        <v>79.125</v>
      </c>
      <c r="I20" s="9">
        <f>IF(G20=0,0,SUMPRODUCT(H20:H20,M20:M20)/(L20*2.52))</f>
        <v>1.2720543345543347</v>
      </c>
      <c r="J20" s="44">
        <v>1.56</v>
      </c>
      <c r="K20" s="10">
        <f>I20*L20*G20</f>
        <v>396.88095238095241</v>
      </c>
      <c r="L20" s="10">
        <v>39</v>
      </c>
      <c r="M20" s="6">
        <v>1.58</v>
      </c>
      <c r="N20" s="8">
        <f>2.52/M20*L20</f>
        <v>62.202531645569614</v>
      </c>
      <c r="O20" s="11">
        <f>G20*L20</f>
        <v>312</v>
      </c>
    </row>
    <row r="21" spans="1:15" ht="17.25" customHeight="1">
      <c r="A21" s="28" t="s">
        <v>35</v>
      </c>
      <c r="B21" s="4" t="s">
        <v>36</v>
      </c>
      <c r="C21" s="5">
        <v>46192</v>
      </c>
      <c r="D21" s="53">
        <v>0</v>
      </c>
      <c r="E21" s="53">
        <v>0</v>
      </c>
      <c r="F21" s="54">
        <f t="shared" si="4"/>
        <v>0</v>
      </c>
      <c r="G21" s="29">
        <v>8</v>
      </c>
      <c r="H21" s="8">
        <f>IF(G21=0,0,D21/G21)</f>
        <v>0</v>
      </c>
      <c r="I21" s="30">
        <f>IF(G21=0,0,SUMPRODUCT(H21:H22,M21:M22)/(L21*2.52))</f>
        <v>1.2994204260651627</v>
      </c>
      <c r="J21" s="59">
        <v>1.39</v>
      </c>
      <c r="K21" s="31">
        <f>I21*L21*G21</f>
        <v>395.02380952380946</v>
      </c>
      <c r="L21" s="31">
        <v>38</v>
      </c>
      <c r="M21" s="6">
        <v>1.28</v>
      </c>
      <c r="N21" s="8">
        <f>2.52/M21*L21</f>
        <v>74.8125</v>
      </c>
      <c r="O21" s="11">
        <f>G21*L21</f>
        <v>304</v>
      </c>
    </row>
    <row r="22" spans="1:15" ht="17.25" customHeight="1">
      <c r="A22" s="28"/>
      <c r="B22" s="4" t="s">
        <v>37</v>
      </c>
      <c r="C22" s="5">
        <v>46214</v>
      </c>
      <c r="D22" s="53">
        <v>706</v>
      </c>
      <c r="E22" s="53">
        <v>706</v>
      </c>
      <c r="F22" s="54">
        <f t="shared" si="4"/>
        <v>0</v>
      </c>
      <c r="G22" s="29"/>
      <c r="H22" s="8">
        <f>IF(G21=0,0,D22/G21)</f>
        <v>88.25</v>
      </c>
      <c r="I22" s="30"/>
      <c r="J22" s="60"/>
      <c r="K22" s="31"/>
      <c r="L22" s="31"/>
      <c r="M22" s="6">
        <v>1.41</v>
      </c>
      <c r="N22" s="8">
        <f>2.52/M22*L21</f>
        <v>67.914893617021278</v>
      </c>
      <c r="O22" s="11"/>
    </row>
    <row r="23" spans="1:15" ht="17.25" customHeight="1">
      <c r="A23" s="3" t="s">
        <v>38</v>
      </c>
      <c r="B23" s="4" t="s">
        <v>14</v>
      </c>
      <c r="C23" s="5">
        <v>46209</v>
      </c>
      <c r="D23" s="53">
        <v>1765</v>
      </c>
      <c r="E23" s="53">
        <v>1765</v>
      </c>
      <c r="F23" s="54">
        <f t="shared" si="4"/>
        <v>0</v>
      </c>
      <c r="G23" s="7">
        <v>8</v>
      </c>
      <c r="H23" s="8">
        <f t="shared" ref="H23:H28" si="5">IF(G23=0,0,D23/G23)</f>
        <v>220.625</v>
      </c>
      <c r="I23" s="9">
        <f>IF(G23=0,0,SUMPRODUCT(H23:H23,M23:M23)/(L23*2.52))</f>
        <v>2.0044251253132832</v>
      </c>
      <c r="J23" s="44">
        <v>1.95</v>
      </c>
      <c r="K23" s="10">
        <f t="shared" ref="K23:K28" si="6">I23*L23*G23</f>
        <v>609.34523809523807</v>
      </c>
      <c r="L23" s="10">
        <v>38</v>
      </c>
      <c r="M23" s="6">
        <v>0.87</v>
      </c>
      <c r="N23" s="8">
        <f t="shared" ref="N23:N28" si="7">2.52/M23*L23</f>
        <v>110.06896551724138</v>
      </c>
      <c r="O23" s="11">
        <f t="shared" ref="O23:O28" si="8">G23*L23</f>
        <v>304</v>
      </c>
    </row>
    <row r="24" spans="1:15" ht="17.25" customHeight="1">
      <c r="A24" s="3" t="s">
        <v>39</v>
      </c>
      <c r="B24" s="4" t="s">
        <v>14</v>
      </c>
      <c r="C24" s="5">
        <v>46209</v>
      </c>
      <c r="D24" s="53">
        <v>1700</v>
      </c>
      <c r="E24" s="53">
        <v>1700</v>
      </c>
      <c r="F24" s="54">
        <f t="shared" si="4"/>
        <v>0</v>
      </c>
      <c r="G24" s="7">
        <v>8</v>
      </c>
      <c r="H24" s="8">
        <f t="shared" si="5"/>
        <v>212.5</v>
      </c>
      <c r="I24" s="9">
        <f>IF(G24=0,0,SUMPRODUCT(H24:H24,M24:M24)/(L24*2.52))</f>
        <v>1.9306077694235588</v>
      </c>
      <c r="J24" s="44">
        <v>1.8</v>
      </c>
      <c r="K24" s="10">
        <f t="shared" si="6"/>
        <v>586.90476190476193</v>
      </c>
      <c r="L24" s="10">
        <v>38</v>
      </c>
      <c r="M24" s="6">
        <v>0.87</v>
      </c>
      <c r="N24" s="8">
        <f t="shared" si="7"/>
        <v>110.06896551724138</v>
      </c>
      <c r="O24" s="11">
        <f t="shared" si="8"/>
        <v>304</v>
      </c>
    </row>
    <row r="25" spans="1:15" ht="17.25" customHeight="1">
      <c r="A25" s="3" t="s">
        <v>40</v>
      </c>
      <c r="B25" s="4" t="s">
        <v>20</v>
      </c>
      <c r="C25" s="5">
        <v>46155</v>
      </c>
      <c r="D25" s="53">
        <v>758</v>
      </c>
      <c r="E25" s="53">
        <v>760</v>
      </c>
      <c r="F25" s="54">
        <f t="shared" si="4"/>
        <v>-2</v>
      </c>
      <c r="G25" s="7">
        <v>8</v>
      </c>
      <c r="H25" s="8">
        <f t="shared" si="5"/>
        <v>94.75</v>
      </c>
      <c r="I25" s="9">
        <f>IF(G25=0,0,SUMPRODUCT(H25:H25,M25:M25)/(L25*2.52))</f>
        <v>2.0867559523809529</v>
      </c>
      <c r="J25" s="44">
        <v>2.1</v>
      </c>
      <c r="K25" s="10">
        <f t="shared" si="6"/>
        <v>667.76190476190493</v>
      </c>
      <c r="L25" s="10">
        <v>40</v>
      </c>
      <c r="M25" s="6">
        <v>2.2200000000000002</v>
      </c>
      <c r="N25" s="8">
        <f t="shared" si="7"/>
        <v>45.405405405405403</v>
      </c>
      <c r="O25" s="11">
        <f t="shared" si="8"/>
        <v>320</v>
      </c>
    </row>
    <row r="26" spans="1:15" ht="17.25" customHeight="1">
      <c r="A26" s="3" t="s">
        <v>41</v>
      </c>
      <c r="B26" s="4" t="s">
        <v>14</v>
      </c>
      <c r="C26" s="5">
        <v>46219</v>
      </c>
      <c r="D26" s="53">
        <v>1607</v>
      </c>
      <c r="E26" s="53">
        <v>1607</v>
      </c>
      <c r="F26" s="54">
        <f t="shared" si="4"/>
        <v>0</v>
      </c>
      <c r="G26" s="7">
        <v>8</v>
      </c>
      <c r="H26" s="8">
        <f t="shared" si="5"/>
        <v>200.875</v>
      </c>
      <c r="I26" s="9">
        <f>IF(G26=0,0,SUMPRODUCT(H26:H26,M26:M26)/(L26*2.52))</f>
        <v>1.9263806216931216</v>
      </c>
      <c r="J26" s="44">
        <v>1.95</v>
      </c>
      <c r="K26" s="10">
        <f t="shared" si="6"/>
        <v>554.79761904761904</v>
      </c>
      <c r="L26" s="10">
        <v>36</v>
      </c>
      <c r="M26" s="6">
        <v>0.87</v>
      </c>
      <c r="N26" s="8">
        <f t="shared" si="7"/>
        <v>104.27586206896552</v>
      </c>
      <c r="O26" s="11">
        <f t="shared" si="8"/>
        <v>288</v>
      </c>
    </row>
    <row r="27" spans="1:15" ht="17.25" customHeight="1">
      <c r="A27" s="3" t="s">
        <v>42</v>
      </c>
      <c r="B27" s="4" t="s">
        <v>14</v>
      </c>
      <c r="C27" s="5">
        <v>46192</v>
      </c>
      <c r="D27" s="53">
        <v>1862</v>
      </c>
      <c r="E27" s="53">
        <v>1864</v>
      </c>
      <c r="F27" s="54">
        <f t="shared" si="4"/>
        <v>-2</v>
      </c>
      <c r="G27" s="7">
        <v>8</v>
      </c>
      <c r="H27" s="8">
        <f t="shared" si="5"/>
        <v>232.75</v>
      </c>
      <c r="I27" s="9">
        <f>IF(G27=0,0,SUMPRODUCT(H27:H27,M27:M27)/(L27*2.52))</f>
        <v>2.0603632478632479</v>
      </c>
      <c r="J27" s="44">
        <v>1.99</v>
      </c>
      <c r="K27" s="10">
        <f t="shared" si="6"/>
        <v>642.83333333333337</v>
      </c>
      <c r="L27" s="10">
        <v>39</v>
      </c>
      <c r="M27" s="6">
        <v>0.87</v>
      </c>
      <c r="N27" s="8">
        <f t="shared" si="7"/>
        <v>112.96551724137932</v>
      </c>
      <c r="O27" s="11">
        <f t="shared" si="8"/>
        <v>312</v>
      </c>
    </row>
    <row r="28" spans="1:15" ht="17.25" customHeight="1">
      <c r="A28" s="28" t="s">
        <v>43</v>
      </c>
      <c r="B28" s="4" t="s">
        <v>44</v>
      </c>
      <c r="C28" s="5">
        <v>46237</v>
      </c>
      <c r="D28" s="53">
        <v>10</v>
      </c>
      <c r="E28" s="53">
        <v>17</v>
      </c>
      <c r="F28" s="54">
        <f t="shared" si="4"/>
        <v>-7</v>
      </c>
      <c r="G28" s="29">
        <v>8</v>
      </c>
      <c r="H28" s="8">
        <f t="shared" si="5"/>
        <v>1.25</v>
      </c>
      <c r="I28" s="30">
        <f>IF(G28=0,0,SUMPRODUCT(H28:H30,M28:M30)/(L28*2.52))</f>
        <v>1.251905806182122</v>
      </c>
      <c r="J28" s="59">
        <v>1.52</v>
      </c>
      <c r="K28" s="31">
        <f t="shared" si="6"/>
        <v>380.57936507936506</v>
      </c>
      <c r="L28" s="31">
        <v>38</v>
      </c>
      <c r="M28" s="6">
        <v>0.79</v>
      </c>
      <c r="N28" s="8">
        <f t="shared" si="7"/>
        <v>121.21518987341771</v>
      </c>
      <c r="O28" s="11">
        <f t="shared" si="8"/>
        <v>304</v>
      </c>
    </row>
    <row r="29" spans="1:15" ht="17.25" customHeight="1">
      <c r="A29" s="28"/>
      <c r="B29" s="4" t="s">
        <v>45</v>
      </c>
      <c r="C29" s="5">
        <v>46244</v>
      </c>
      <c r="D29" s="53">
        <v>1067</v>
      </c>
      <c r="E29" s="53">
        <v>1000</v>
      </c>
      <c r="F29" s="54">
        <f t="shared" si="4"/>
        <v>67</v>
      </c>
      <c r="G29" s="29"/>
      <c r="H29" s="8">
        <f>IF(G28=0,0,D29/G28)</f>
        <v>133.375</v>
      </c>
      <c r="I29" s="30"/>
      <c r="J29" s="61"/>
      <c r="K29" s="31"/>
      <c r="L29" s="31"/>
      <c r="M29" s="6">
        <v>0.79</v>
      </c>
      <c r="N29" s="8">
        <f>2.52/M29*L28</f>
        <v>121.21518987341771</v>
      </c>
      <c r="O29" s="11"/>
    </row>
    <row r="30" spans="1:15" ht="17.25" customHeight="1">
      <c r="A30" s="28"/>
      <c r="B30" s="4" t="s">
        <v>46</v>
      </c>
      <c r="C30" s="5">
        <v>46253</v>
      </c>
      <c r="D30" s="53">
        <v>137</v>
      </c>
      <c r="E30" s="53">
        <v>151</v>
      </c>
      <c r="F30" s="54">
        <f t="shared" si="4"/>
        <v>-14</v>
      </c>
      <c r="G30" s="29"/>
      <c r="H30" s="8">
        <f>IF(G28=0,0,D30/G28)</f>
        <v>17.125</v>
      </c>
      <c r="I30" s="30"/>
      <c r="J30" s="60"/>
      <c r="K30" s="31"/>
      <c r="L30" s="31"/>
      <c r="M30" s="6">
        <v>0.79</v>
      </c>
      <c r="N30" s="8">
        <f>2.52/M30*L28</f>
        <v>121.21518987341771</v>
      </c>
      <c r="O30" s="11"/>
    </row>
    <row r="31" spans="1:15">
      <c r="A31" s="32" t="s">
        <v>47</v>
      </c>
      <c r="B31" s="33"/>
      <c r="C31" s="34"/>
      <c r="D31" s="12">
        <f>SUM(D5:D30)</f>
        <v>21604</v>
      </c>
      <c r="E31" s="45">
        <f>SUM(E5:E30)</f>
        <v>21533</v>
      </c>
      <c r="F31" s="45">
        <f>F12+F13+F17+F25+F27+F28+F30</f>
        <v>-45</v>
      </c>
      <c r="G31" s="13">
        <f>SUM(G5:G30)</f>
        <v>160</v>
      </c>
      <c r="H31" s="14"/>
      <c r="I31" s="15">
        <f>SUM(K5:K30)/O31</f>
        <v>1.7050550680421883</v>
      </c>
      <c r="J31" s="46"/>
      <c r="K31" s="12"/>
      <c r="L31" s="12">
        <f>SUM(L5:L30)</f>
        <v>757</v>
      </c>
      <c r="M31" s="12"/>
      <c r="N31" s="14"/>
      <c r="O31" s="16">
        <f>SUM(O5:O30)</f>
        <v>6056</v>
      </c>
    </row>
    <row r="32" spans="1:15">
      <c r="A32" s="17"/>
      <c r="B32" s="6"/>
      <c r="C32" s="5"/>
      <c r="D32" s="6"/>
      <c r="E32" s="43"/>
      <c r="F32" s="43"/>
      <c r="G32" s="18"/>
      <c r="H32" s="8"/>
      <c r="I32" s="19"/>
      <c r="J32" s="47"/>
      <c r="K32" s="6"/>
      <c r="L32" s="6"/>
      <c r="M32" s="6"/>
      <c r="N32" s="8"/>
      <c r="O32" s="11"/>
    </row>
    <row r="33" spans="1:15" ht="13.5" thickBot="1">
      <c r="A33" s="25" t="s">
        <v>48</v>
      </c>
      <c r="B33" s="26"/>
      <c r="C33" s="27"/>
      <c r="D33" s="20">
        <f>SUMIF(A5:A32, "&lt;&gt;Summary", D5:D32)</f>
        <v>21604</v>
      </c>
      <c r="E33" s="48"/>
      <c r="F33" s="48"/>
      <c r="G33" s="21">
        <f>SUMIF(A5:A32, "&lt;&gt;Summary", G5:G32)</f>
        <v>160</v>
      </c>
      <c r="H33" s="22"/>
      <c r="I33" s="23">
        <f>SUMIF(A5:A32, "&lt;&gt;Summary", K5:K32)/O33</f>
        <v>1.7050550680421883</v>
      </c>
      <c r="J33" s="49"/>
      <c r="K33" s="20"/>
      <c r="L33" s="20">
        <f>SUMIF(A5:A32, "&lt;&gt;Summary", L5:L32)</f>
        <v>757</v>
      </c>
      <c r="M33" s="20"/>
      <c r="N33" s="22"/>
      <c r="O33" s="24">
        <f>SUMIF(A5:A32, "&lt;&gt;Summary", O5:O32)</f>
        <v>6056</v>
      </c>
    </row>
    <row r="34" spans="1:15" ht="13.5" thickTop="1"/>
    <row r="35" spans="1:15">
      <c r="C35" s="50" t="s">
        <v>49</v>
      </c>
      <c r="D35" s="51">
        <f>SUM(K5:K9)/SUM(O5:O9)</f>
        <v>1.7635662015702338</v>
      </c>
      <c r="E35" s="51"/>
      <c r="F35" s="51"/>
    </row>
    <row r="36" spans="1:15">
      <c r="C36" s="50" t="s">
        <v>50</v>
      </c>
      <c r="D36" s="51">
        <f>SUM(K10:K16)/SUM(O10:O16)</f>
        <v>1.5464520676691729</v>
      </c>
      <c r="E36" s="51"/>
      <c r="F36" s="51"/>
    </row>
    <row r="37" spans="1:15">
      <c r="C37" s="50" t="s">
        <v>51</v>
      </c>
      <c r="D37" s="51">
        <f>SUM(K17:K23)/SUM(O17:O23)</f>
        <v>1.6566729323308269</v>
      </c>
      <c r="E37" s="51"/>
      <c r="F37" s="51"/>
    </row>
    <row r="38" spans="1:15">
      <c r="C38" s="50" t="s">
        <v>52</v>
      </c>
      <c r="D38" s="51">
        <f>SUM(K24:K30)/SUM(O24:O30)</f>
        <v>1.8539770838527383</v>
      </c>
      <c r="E38" s="51"/>
      <c r="F38" s="51"/>
    </row>
  </sheetData>
  <mergeCells count="53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5:A16"/>
    <mergeCell ref="G15:G16"/>
    <mergeCell ref="I15:I16"/>
    <mergeCell ref="K15:K16"/>
    <mergeCell ref="L15:L16"/>
    <mergeCell ref="E15:E16"/>
    <mergeCell ref="F15:F16"/>
    <mergeCell ref="J15:J16"/>
    <mergeCell ref="A10:A11"/>
    <mergeCell ref="G10:G11"/>
    <mergeCell ref="I10:I11"/>
    <mergeCell ref="K10:K11"/>
    <mergeCell ref="L10:L11"/>
    <mergeCell ref="E10:E11"/>
    <mergeCell ref="F10:F11"/>
    <mergeCell ref="J10:J11"/>
    <mergeCell ref="L28:L30"/>
    <mergeCell ref="A31:C31"/>
    <mergeCell ref="A17:A18"/>
    <mergeCell ref="G17:G18"/>
    <mergeCell ref="I17:I18"/>
    <mergeCell ref="K17:K18"/>
    <mergeCell ref="L17:L18"/>
    <mergeCell ref="A21:A22"/>
    <mergeCell ref="G21:G22"/>
    <mergeCell ref="I21:I22"/>
    <mergeCell ref="K21:K22"/>
    <mergeCell ref="L21:L22"/>
    <mergeCell ref="E17:E18"/>
    <mergeCell ref="F17:F18"/>
    <mergeCell ref="J17:J18"/>
    <mergeCell ref="J21:J22"/>
    <mergeCell ref="A33:C33"/>
    <mergeCell ref="A28:A30"/>
    <mergeCell ref="G28:G30"/>
    <mergeCell ref="I28:I30"/>
    <mergeCell ref="K28:K30"/>
    <mergeCell ref="J28:J30"/>
  </mergeCells>
  <printOptions horizontalCentered="1"/>
  <pageMargins left="0.2" right="0.2" top="1" bottom="0.2" header="0.2" footer="0.2"/>
  <pageSetup paperSize="9" scale="73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2026-08-20T00:59:49Z</cp:lastPrinted>
  <dcterms:created xsi:type="dcterms:W3CDTF">2026-08-20T00:44:15Z</dcterms:created>
  <dcterms:modified xsi:type="dcterms:W3CDTF">2026-08-20T00:59:51Z</dcterms:modified>
</cp:coreProperties>
</file>