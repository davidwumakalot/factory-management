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1075" windowHeight="1234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45" i="1"/>
  <c r="D44"/>
  <c r="D43"/>
  <c r="D42"/>
  <c r="I40"/>
  <c r="E40"/>
  <c r="D40"/>
  <c r="I39"/>
  <c r="E39"/>
  <c r="D39"/>
  <c r="L37"/>
  <c r="K38"/>
  <c r="F38"/>
  <c r="K37"/>
  <c r="F37"/>
  <c r="G37" s="1"/>
  <c r="H37" s="1"/>
  <c r="L36"/>
  <c r="G36"/>
  <c r="H36" s="1"/>
  <c r="K36"/>
  <c r="F36"/>
  <c r="L34"/>
  <c r="K35"/>
  <c r="F35"/>
  <c r="K34"/>
  <c r="F34"/>
  <c r="G34" s="1"/>
  <c r="H34" s="1"/>
  <c r="L33"/>
  <c r="G33"/>
  <c r="H33" s="1"/>
  <c r="K33"/>
  <c r="F33"/>
  <c r="L32"/>
  <c r="H32"/>
  <c r="G32"/>
  <c r="K32"/>
  <c r="F32"/>
  <c r="L31"/>
  <c r="K31"/>
  <c r="F31"/>
  <c r="G31" s="1"/>
  <c r="H31" s="1"/>
  <c r="L30"/>
  <c r="K30"/>
  <c r="F30"/>
  <c r="G30" s="1"/>
  <c r="H30" s="1"/>
  <c r="L29"/>
  <c r="G29"/>
  <c r="H29" s="1"/>
  <c r="K29"/>
  <c r="F29"/>
  <c r="L27"/>
  <c r="K28"/>
  <c r="F28"/>
  <c r="K27"/>
  <c r="F27"/>
  <c r="G27" s="1"/>
  <c r="H27" s="1"/>
  <c r="L24"/>
  <c r="K26"/>
  <c r="F26"/>
  <c r="K25"/>
  <c r="F25"/>
  <c r="G24" s="1"/>
  <c r="H24" s="1"/>
  <c r="K24"/>
  <c r="F24"/>
  <c r="L22"/>
  <c r="K23"/>
  <c r="F23"/>
  <c r="K22"/>
  <c r="F22"/>
  <c r="G22" s="1"/>
  <c r="H22" s="1"/>
  <c r="L15"/>
  <c r="G15"/>
  <c r="H15" s="1"/>
  <c r="K21"/>
  <c r="F21"/>
  <c r="K20"/>
  <c r="F20"/>
  <c r="K19"/>
  <c r="F19"/>
  <c r="K18"/>
  <c r="F18"/>
  <c r="K17"/>
  <c r="F17"/>
  <c r="K16"/>
  <c r="F16"/>
  <c r="K15"/>
  <c r="F15"/>
  <c r="L14"/>
  <c r="H14"/>
  <c r="G14"/>
  <c r="K14"/>
  <c r="F14"/>
  <c r="L13"/>
  <c r="K13"/>
  <c r="F13"/>
  <c r="G13" s="1"/>
  <c r="H13" s="1"/>
  <c r="L11"/>
  <c r="K12"/>
  <c r="F12"/>
  <c r="K11"/>
  <c r="F11"/>
  <c r="G11" s="1"/>
  <c r="H11" s="1"/>
  <c r="L9"/>
  <c r="K10"/>
  <c r="F10"/>
  <c r="K9"/>
  <c r="F9"/>
  <c r="G9" s="1"/>
  <c r="H9" s="1"/>
  <c r="L8"/>
  <c r="H8"/>
  <c r="G8"/>
  <c r="K8"/>
  <c r="F8"/>
  <c r="L7"/>
  <c r="K7"/>
  <c r="F7"/>
  <c r="G7" s="1"/>
  <c r="H7" s="1"/>
  <c r="L6"/>
  <c r="K6"/>
  <c r="F6"/>
  <c r="G6" s="1"/>
  <c r="H6" s="1"/>
  <c r="L5"/>
  <c r="L40" s="1"/>
  <c r="G40" s="1"/>
  <c r="G5"/>
  <c r="H5" s="1"/>
  <c r="K5"/>
  <c r="F5"/>
  <c r="L39" l="1"/>
  <c r="G39" s="1"/>
</calcChain>
</file>

<file path=xl/sharedStrings.xml><?xml version="1.0" encoding="utf-8"?>
<sst xmlns="http://schemas.openxmlformats.org/spreadsheetml/2006/main" count="73" uniqueCount="61">
  <si>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</si>
  <si>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</si>
  <si>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</si>
  <si>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</si>
  <si>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</si>
  <si>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</si>
  <si>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</si>
  <si>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</si>
  <si>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</si>
  <si>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</si>
  <si>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</si>
  <si>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</si>
  <si>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</si>
  <si>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</si>
  <si>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1182430_HO26_HT</t>
  </si>
  <si>
    <t>6-02</t>
  </si>
  <si>
    <t>G917K0_C426</t>
  </si>
  <si>
    <t>6-03</t>
  </si>
  <si>
    <t>CPW264TL38</t>
  </si>
  <si>
    <t>6-04</t>
  </si>
  <si>
    <t>CPM263TL32_26Q4</t>
  </si>
  <si>
    <t>6-05</t>
  </si>
  <si>
    <t>1184404_HO26</t>
  </si>
  <si>
    <t>6-06</t>
  </si>
  <si>
    <t>777362_VMI</t>
  </si>
  <si>
    <t>777362_FA26</t>
  </si>
  <si>
    <t>6-07</t>
  </si>
  <si>
    <t>CPM263PA05_26Q4</t>
  </si>
  <si>
    <t>6-08</t>
  </si>
  <si>
    <t>766362_HO26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</si>
  <si>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</si>
  <si>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</si>
  <si>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</si>
  <si>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</si>
  <si>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</si>
  <si>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</si>
  <si>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</si>
  <si>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</si>
  <si>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</si>
  <si>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1184403_HO26</t>
  </si>
  <si>
    <t>6-11</t>
  </si>
  <si>
    <t>MRLPMM_C426</t>
  </si>
  <si>
    <t>6-12</t>
  </si>
  <si>
    <t>910047_HO26DIS</t>
  </si>
  <si>
    <t>6-13</t>
  </si>
  <si>
    <t>1182723_HO26</t>
  </si>
  <si>
    <t>6-14</t>
  </si>
  <si>
    <t>G9M018_C426</t>
  </si>
  <si>
    <t>6-15</t>
  </si>
  <si>
    <t>6-16</t>
  </si>
  <si>
    <t>6-17</t>
  </si>
  <si>
    <t>6-18</t>
  </si>
  <si>
    <t>6-19</t>
  </si>
  <si>
    <t>6-20</t>
  </si>
  <si>
    <t>CPM263PA81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</si>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</sst>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6"/>
  <sheetViews>
    <sheetView tabSelected="1" workbookViewId="0">
      <pane ySplit="4" topLeftCell="A9" activePane="bottomLeft" state="frozen"/>
      <selection pane="bottomLeft" activeCell="D5" sqref="D5:F38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46233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3" t="s">
        <v>13</v>
      </c>
      <c r="B5" s="4" t="s">
        <v>14</v>
      </c>
      <c r="C5" s="5">
        <v>46228</v>
      </c>
      <c r="D5" s="37">
        <v>1049</v>
      </c>
      <c r="E5" s="38">
        <v>8</v>
      </c>
      <c r="F5" s="39">
        <f>IF(E5=0,0,D5/E5)</f>
        <v>131.125</v>
      </c>
      <c r="G5" s="8">
        <f>IF(E5=0,0,SUMPRODUCT(F5:F5,J5:J5)/(I5*2.52))</f>
        <v>1.0680607769423558</v>
      </c>
      <c r="H5" s="9">
        <f>G5*I5*E5</f>
        <v>324.69047619047615</v>
      </c>
      <c r="I5" s="9">
        <v>38</v>
      </c>
      <c r="J5" s="6">
        <v>0.78</v>
      </c>
      <c r="K5" s="7">
        <f>2.52/J5*I5</f>
        <v>122.76923076923077</v>
      </c>
      <c r="L5" s="10">
        <f>E5*I5</f>
        <v>304</v>
      </c>
    </row>
    <row r="6" spans="1:12">
      <c r="A6" s="3" t="s">
        <v>15</v>
      </c>
      <c r="B6" s="4" t="s">
        <v>16</v>
      </c>
      <c r="C6" s="5">
        <v>46176</v>
      </c>
      <c r="D6" s="37">
        <v>1361</v>
      </c>
      <c r="E6" s="38">
        <v>8</v>
      </c>
      <c r="F6" s="39">
        <f>IF(E6=0,0,D6/E6)</f>
        <v>170.125</v>
      </c>
      <c r="G6" s="8">
        <f>IF(E6=0,0,SUMPRODUCT(F6:F6,J6:J6)/(I6*2.52))</f>
        <v>2.4003527336860668</v>
      </c>
      <c r="H6" s="9">
        <f>G6*I6*E6</f>
        <v>691.30158730158723</v>
      </c>
      <c r="I6" s="9">
        <v>36</v>
      </c>
      <c r="J6" s="6">
        <v>1.28</v>
      </c>
      <c r="K6" s="7">
        <f>2.52/J6*I6</f>
        <v>70.875</v>
      </c>
      <c r="L6" s="10">
        <f>E6*I6</f>
        <v>288</v>
      </c>
    </row>
    <row r="7" spans="1:12">
      <c r="A7" s="3" t="s">
        <v>17</v>
      </c>
      <c r="B7" s="4" t="s">
        <v>18</v>
      </c>
      <c r="C7" s="5">
        <v>46224</v>
      </c>
      <c r="D7" s="37">
        <v>1298</v>
      </c>
      <c r="E7" s="38">
        <v>8</v>
      </c>
      <c r="F7" s="39">
        <f>IF(E7=0,0,D7/E7)</f>
        <v>162.25</v>
      </c>
      <c r="G7" s="8">
        <f>IF(E7=0,0,SUMPRODUCT(F7:F7,J7:J7)/(I7*2.52))</f>
        <v>1.5249060150375939</v>
      </c>
      <c r="H7" s="9">
        <f>G7*I7*E7</f>
        <v>463.57142857142856</v>
      </c>
      <c r="I7" s="9">
        <v>38</v>
      </c>
      <c r="J7" s="6">
        <v>0.9</v>
      </c>
      <c r="K7" s="7">
        <f>2.52/J7*I7</f>
        <v>106.39999999999999</v>
      </c>
      <c r="L7" s="10">
        <f>E7*I7</f>
        <v>304</v>
      </c>
    </row>
    <row r="8" spans="1:12">
      <c r="A8" s="3" t="s">
        <v>19</v>
      </c>
      <c r="B8" s="4" t="s">
        <v>20</v>
      </c>
      <c r="C8" s="5">
        <v>46228</v>
      </c>
      <c r="D8" s="37">
        <v>1243</v>
      </c>
      <c r="E8" s="38">
        <v>8</v>
      </c>
      <c r="F8" s="39">
        <f>IF(E8=0,0,D8/E8)</f>
        <v>155.375</v>
      </c>
      <c r="G8" s="8">
        <f>IF(E8=0,0,SUMPRODUCT(F8:F8,J8:J8)/(I8*2.52))</f>
        <v>1.4997586872586874</v>
      </c>
      <c r="H8" s="9">
        <f>G8*I8*E8</f>
        <v>443.9285714285715</v>
      </c>
      <c r="I8" s="9">
        <v>37</v>
      </c>
      <c r="J8" s="6">
        <v>0.9</v>
      </c>
      <c r="K8" s="7">
        <f>2.52/J8*I8</f>
        <v>103.6</v>
      </c>
      <c r="L8" s="10">
        <f>E8*I8</f>
        <v>296</v>
      </c>
    </row>
    <row r="9" spans="1:12">
      <c r="A9" s="27" t="s">
        <v>21</v>
      </c>
      <c r="B9" s="4" t="s">
        <v>22</v>
      </c>
      <c r="C9" s="5">
        <v>46223</v>
      </c>
      <c r="D9" s="37">
        <v>62</v>
      </c>
      <c r="E9" s="40">
        <v>7</v>
      </c>
      <c r="F9" s="39">
        <f>IF(E9=0,0,D9/E9)</f>
        <v>8.8571428571428577</v>
      </c>
      <c r="G9" s="28">
        <f>IF(E9=0,0,SUMPRODUCT(F9:F10,J9:J10)/(I9*2.52))</f>
        <v>0.93547133138969885</v>
      </c>
      <c r="H9" s="29">
        <f>G9*I9*E9</f>
        <v>229.1904761904762</v>
      </c>
      <c r="I9" s="29">
        <v>35</v>
      </c>
      <c r="J9" s="6">
        <v>0.78</v>
      </c>
      <c r="K9" s="7">
        <f>2.52/J9*I9</f>
        <v>113.07692307692308</v>
      </c>
      <c r="L9" s="10">
        <f>E9*I9</f>
        <v>245</v>
      </c>
    </row>
    <row r="10" spans="1:12">
      <c r="A10" s="27"/>
      <c r="B10" s="4" t="s">
        <v>18</v>
      </c>
      <c r="C10" s="5">
        <v>46232</v>
      </c>
      <c r="D10" s="37">
        <v>588</v>
      </c>
      <c r="E10" s="40"/>
      <c r="F10" s="39">
        <f>IF(E9=0,0,D10/E9)</f>
        <v>84</v>
      </c>
      <c r="G10" s="28"/>
      <c r="H10" s="29"/>
      <c r="I10" s="29"/>
      <c r="J10" s="6">
        <v>0.9</v>
      </c>
      <c r="K10" s="7">
        <f>2.52/J10*I9</f>
        <v>98</v>
      </c>
      <c r="L10" s="10"/>
    </row>
    <row r="11" spans="1:12">
      <c r="A11" s="27" t="s">
        <v>23</v>
      </c>
      <c r="B11" s="4" t="s">
        <v>24</v>
      </c>
      <c r="C11" s="5">
        <v>46122</v>
      </c>
      <c r="D11" s="37">
        <v>1247</v>
      </c>
      <c r="E11" s="40">
        <v>8</v>
      </c>
      <c r="F11" s="39">
        <f>IF(E11=0,0,D11/E11)</f>
        <v>155.875</v>
      </c>
      <c r="G11" s="28">
        <f>IF(E11=0,0,SUMPRODUCT(F11:F12,J11:J12)/(I11*2.52))</f>
        <v>2.0354729729729732</v>
      </c>
      <c r="H11" s="29">
        <f>G11*I11*E11</f>
        <v>602.50000000000011</v>
      </c>
      <c r="I11" s="29">
        <v>37</v>
      </c>
      <c r="J11" s="6">
        <v>1.05</v>
      </c>
      <c r="K11" s="7">
        <f>2.52/J11*I11</f>
        <v>88.8</v>
      </c>
      <c r="L11" s="10">
        <f>E11*I11</f>
        <v>296</v>
      </c>
    </row>
    <row r="12" spans="1:12">
      <c r="A12" s="27"/>
      <c r="B12" s="4" t="s">
        <v>25</v>
      </c>
      <c r="C12" s="5">
        <v>46192</v>
      </c>
      <c r="D12" s="37">
        <v>199</v>
      </c>
      <c r="E12" s="40"/>
      <c r="F12" s="39">
        <f>IF(E11=0,0,D12/E11)</f>
        <v>24.875</v>
      </c>
      <c r="G12" s="28"/>
      <c r="H12" s="29"/>
      <c r="I12" s="29"/>
      <c r="J12" s="6">
        <v>1.05</v>
      </c>
      <c r="K12" s="7">
        <f>2.52/J12*I11</f>
        <v>88.8</v>
      </c>
      <c r="L12" s="10"/>
    </row>
    <row r="13" spans="1:12">
      <c r="A13" s="3" t="s">
        <v>26</v>
      </c>
      <c r="B13" s="4" t="s">
        <v>27</v>
      </c>
      <c r="C13" s="5">
        <v>46225</v>
      </c>
      <c r="D13" s="37">
        <v>800</v>
      </c>
      <c r="E13" s="38">
        <v>8</v>
      </c>
      <c r="F13" s="39">
        <f>IF(E13=0,0,D13/E13)</f>
        <v>100</v>
      </c>
      <c r="G13" s="8">
        <f>IF(E13=0,0,SUMPRODUCT(F13:F13,J13:J13)/(I13*2.52))</f>
        <v>1.3337742504409171</v>
      </c>
      <c r="H13" s="9">
        <f>G13*I13*E13</f>
        <v>384.12698412698415</v>
      </c>
      <c r="I13" s="9">
        <v>36</v>
      </c>
      <c r="J13" s="6">
        <v>1.21</v>
      </c>
      <c r="K13" s="7">
        <f>2.52/J13*I13</f>
        <v>74.975206611570258</v>
      </c>
      <c r="L13" s="10">
        <f>E13*I13</f>
        <v>288</v>
      </c>
    </row>
    <row r="14" spans="1:12">
      <c r="A14" s="3" t="s">
        <v>28</v>
      </c>
      <c r="B14" s="4" t="s">
        <v>29</v>
      </c>
      <c r="C14" s="5">
        <v>46213</v>
      </c>
      <c r="D14" s="37">
        <v>1625</v>
      </c>
      <c r="E14" s="38">
        <v>8</v>
      </c>
      <c r="F14" s="39">
        <f>IF(E14=0,0,D14/E14)</f>
        <v>203.125</v>
      </c>
      <c r="G14" s="8">
        <f>IF(E14=0,0,SUMPRODUCT(F14:F14,J14:J14)/(I14*2.52))</f>
        <v>1.8030101294903926</v>
      </c>
      <c r="H14" s="9">
        <f>G14*I14*E14</f>
        <v>548.1150793650794</v>
      </c>
      <c r="I14" s="9">
        <v>38</v>
      </c>
      <c r="J14" s="6">
        <v>0.85</v>
      </c>
      <c r="K14" s="7">
        <f>2.52/J14*I14</f>
        <v>112.65882352941176</v>
      </c>
      <c r="L14" s="10">
        <f>E14*I14</f>
        <v>304</v>
      </c>
    </row>
    <row r="15" spans="1:12">
      <c r="A15" s="27" t="s">
        <v>30</v>
      </c>
      <c r="B15" s="6" t="s">
        <v>31</v>
      </c>
      <c r="C15" s="5">
        <v>46206</v>
      </c>
      <c r="D15" s="37">
        <v>76</v>
      </c>
      <c r="E15" s="40">
        <v>8</v>
      </c>
      <c r="F15" s="39">
        <f>IF(E15=0,0,D15/E15)</f>
        <v>9.5</v>
      </c>
      <c r="G15" s="28">
        <f>IF(E15=0,0,SUMPRODUCT(F15:F21,J15:J21)/(I15*2.52))</f>
        <v>2.9482920420420422</v>
      </c>
      <c r="H15" s="29">
        <f>G15*I15*E15</f>
        <v>872.69444444444446</v>
      </c>
      <c r="I15" s="29">
        <v>37</v>
      </c>
      <c r="J15" s="6">
        <v>0.2</v>
      </c>
      <c r="K15" s="7">
        <f>2.52/J15*I15</f>
        <v>466.2</v>
      </c>
      <c r="L15" s="10">
        <f>E15*I15</f>
        <v>296</v>
      </c>
    </row>
    <row r="16" spans="1:12">
      <c r="A16" s="27"/>
      <c r="B16" s="6" t="s">
        <v>32</v>
      </c>
      <c r="C16" s="5">
        <v>46206</v>
      </c>
      <c r="D16" s="37">
        <v>104</v>
      </c>
      <c r="E16" s="40"/>
      <c r="F16" s="39">
        <f>IF(E15=0,0,D16/E15)</f>
        <v>13</v>
      </c>
      <c r="G16" s="28"/>
      <c r="H16" s="29"/>
      <c r="I16" s="29"/>
      <c r="J16" s="6">
        <v>0.2</v>
      </c>
      <c r="K16" s="7">
        <f>2.52/J16*I15</f>
        <v>466.2</v>
      </c>
      <c r="L16" s="10"/>
    </row>
    <row r="17" spans="1:12">
      <c r="A17" s="27"/>
      <c r="B17" s="6" t="s">
        <v>33</v>
      </c>
      <c r="C17" s="5">
        <v>46206</v>
      </c>
      <c r="D17" s="37">
        <v>486</v>
      </c>
      <c r="E17" s="40"/>
      <c r="F17" s="39">
        <f>IF(E15=0,0,D17/E15)</f>
        <v>60.75</v>
      </c>
      <c r="G17" s="28"/>
      <c r="H17" s="29"/>
      <c r="I17" s="29"/>
      <c r="J17" s="6">
        <v>0.2</v>
      </c>
      <c r="K17" s="7">
        <f>2.52/J17*I15</f>
        <v>466.2</v>
      </c>
      <c r="L17" s="10"/>
    </row>
    <row r="18" spans="1:12">
      <c r="A18" s="27"/>
      <c r="B18" s="6" t="s">
        <v>34</v>
      </c>
      <c r="C18" s="5">
        <v>46206</v>
      </c>
      <c r="D18" s="37">
        <v>83</v>
      </c>
      <c r="E18" s="40"/>
      <c r="F18" s="39">
        <f>IF(E15=0,0,D18/E15)</f>
        <v>10.375</v>
      </c>
      <c r="G18" s="28"/>
      <c r="H18" s="29"/>
      <c r="I18" s="29"/>
      <c r="J18" s="6">
        <v>0.2</v>
      </c>
      <c r="K18" s="7">
        <f>2.52/J18*I15</f>
        <v>466.2</v>
      </c>
      <c r="L18" s="10"/>
    </row>
    <row r="19" spans="1:12">
      <c r="A19" s="27"/>
      <c r="B19" s="6" t="s">
        <v>35</v>
      </c>
      <c r="C19" s="5">
        <v>46206</v>
      </c>
      <c r="D19" s="37">
        <v>2678</v>
      </c>
      <c r="E19" s="40"/>
      <c r="F19" s="39">
        <f>IF(E15=0,0,D19/E15)</f>
        <v>334.75</v>
      </c>
      <c r="G19" s="28"/>
      <c r="H19" s="29"/>
      <c r="I19" s="29"/>
      <c r="J19" s="6">
        <v>0.21</v>
      </c>
      <c r="K19" s="7">
        <f>2.52/J19*I15</f>
        <v>444</v>
      </c>
      <c r="L19" s="10"/>
    </row>
    <row r="20" spans="1:12">
      <c r="A20" s="27"/>
      <c r="B20" s="6" t="s">
        <v>36</v>
      </c>
      <c r="C20" s="5">
        <v>46206</v>
      </c>
      <c r="D20" s="37">
        <v>4715</v>
      </c>
      <c r="E20" s="40"/>
      <c r="F20" s="39">
        <f>IF(E15=0,0,D20/E15)</f>
        <v>589.375</v>
      </c>
      <c r="G20" s="28"/>
      <c r="H20" s="29"/>
      <c r="I20" s="29"/>
      <c r="J20" s="6">
        <v>0.21</v>
      </c>
      <c r="K20" s="7">
        <f>2.52/J20*I15</f>
        <v>444</v>
      </c>
      <c r="L20" s="10"/>
    </row>
    <row r="21" spans="1:12">
      <c r="A21" s="27"/>
      <c r="B21" s="6" t="s">
        <v>37</v>
      </c>
      <c r="C21" s="5">
        <v>46206</v>
      </c>
      <c r="D21" s="37">
        <v>2366</v>
      </c>
      <c r="E21" s="40"/>
      <c r="F21" s="39">
        <f>IF(E15=0,0,D21/E15)</f>
        <v>295.75</v>
      </c>
      <c r="G21" s="28"/>
      <c r="H21" s="29"/>
      <c r="I21" s="29"/>
      <c r="J21" s="6">
        <v>0.21</v>
      </c>
      <c r="K21" s="7">
        <f>2.52/J21*I15</f>
        <v>444</v>
      </c>
      <c r="L21" s="10"/>
    </row>
    <row r="22" spans="1:12">
      <c r="A22" s="27" t="s">
        <v>38</v>
      </c>
      <c r="B22" s="4" t="s">
        <v>39</v>
      </c>
      <c r="C22" s="5">
        <v>46223</v>
      </c>
      <c r="D22" s="37">
        <v>129</v>
      </c>
      <c r="E22" s="40">
        <v>8</v>
      </c>
      <c r="F22" s="39">
        <f>IF(E22=0,0,D22/E22)</f>
        <v>16.125</v>
      </c>
      <c r="G22" s="28">
        <f>IF(E22=0,0,SUMPRODUCT(F22:F23,J22:J23)/(I22*2.52))</f>
        <v>1.0870274644945697</v>
      </c>
      <c r="H22" s="29">
        <f>G22*I22*E22</f>
        <v>330.45634920634916</v>
      </c>
      <c r="I22" s="29">
        <v>38</v>
      </c>
      <c r="J22" s="6">
        <v>1.1499999999999999</v>
      </c>
      <c r="K22" s="7">
        <f>2.52/J22*I22</f>
        <v>83.269565217391317</v>
      </c>
      <c r="L22" s="10">
        <f>E22*I22</f>
        <v>304</v>
      </c>
    </row>
    <row r="23" spans="1:12">
      <c r="A23" s="27"/>
      <c r="B23" s="4" t="s">
        <v>39</v>
      </c>
      <c r="C23" s="5">
        <v>46223</v>
      </c>
      <c r="D23" s="37">
        <v>580</v>
      </c>
      <c r="E23" s="40"/>
      <c r="F23" s="39">
        <f>IF(E22=0,0,D23/E22)</f>
        <v>72.5</v>
      </c>
      <c r="G23" s="28"/>
      <c r="H23" s="29"/>
      <c r="I23" s="29"/>
      <c r="J23" s="6">
        <v>1.18</v>
      </c>
      <c r="K23" s="7">
        <f>2.52/J23*I22</f>
        <v>81.152542372881356</v>
      </c>
      <c r="L23" s="10"/>
    </row>
    <row r="24" spans="1:12">
      <c r="A24" s="27" t="s">
        <v>40</v>
      </c>
      <c r="B24" s="4" t="s">
        <v>41</v>
      </c>
      <c r="C24" s="5">
        <v>46162</v>
      </c>
      <c r="D24" s="37">
        <v>0</v>
      </c>
      <c r="E24" s="40">
        <v>8</v>
      </c>
      <c r="F24" s="39">
        <f>IF(E24=0,0,D24/E24)</f>
        <v>0</v>
      </c>
      <c r="G24" s="28">
        <f>IF(E24=0,0,SUMPRODUCT(F24:F26,J24:J26)/(I24*2.52))</f>
        <v>2.162730414746544</v>
      </c>
      <c r="H24" s="29">
        <f>G24*I24*E24</f>
        <v>536.35714285714289</v>
      </c>
      <c r="I24" s="29">
        <v>31</v>
      </c>
      <c r="J24" s="6">
        <v>0.87</v>
      </c>
      <c r="K24" s="7">
        <f>2.52/J24*I24</f>
        <v>89.793103448275858</v>
      </c>
      <c r="L24" s="10">
        <f>E24*I24</f>
        <v>248</v>
      </c>
    </row>
    <row r="25" spans="1:12">
      <c r="A25" s="27"/>
      <c r="B25" s="4" t="s">
        <v>41</v>
      </c>
      <c r="C25" s="5">
        <v>46162</v>
      </c>
      <c r="D25" s="37">
        <v>32</v>
      </c>
      <c r="E25" s="40"/>
      <c r="F25" s="39">
        <f>IF(E24=0,0,D25/E24)</f>
        <v>4</v>
      </c>
      <c r="G25" s="28"/>
      <c r="H25" s="29"/>
      <c r="I25" s="29"/>
      <c r="J25" s="6">
        <v>0.89</v>
      </c>
      <c r="K25" s="7">
        <f>2.52/J25*I24</f>
        <v>87.775280898876403</v>
      </c>
      <c r="L25" s="10"/>
    </row>
    <row r="26" spans="1:12">
      <c r="A26" s="27"/>
      <c r="B26" s="4" t="s">
        <v>41</v>
      </c>
      <c r="C26" s="5">
        <v>46162</v>
      </c>
      <c r="D26" s="37">
        <v>1454</v>
      </c>
      <c r="E26" s="40"/>
      <c r="F26" s="39">
        <f>IF(E24=0,0,D26/E24)</f>
        <v>181.75</v>
      </c>
      <c r="G26" s="28"/>
      <c r="H26" s="29"/>
      <c r="I26" s="29"/>
      <c r="J26" s="6">
        <v>0.91</v>
      </c>
      <c r="K26" s="7">
        <f>2.52/J26*I24</f>
        <v>85.84615384615384</v>
      </c>
      <c r="L26" s="10"/>
    </row>
    <row r="27" spans="1:12">
      <c r="A27" s="27" t="s">
        <v>42</v>
      </c>
      <c r="B27" s="4" t="s">
        <v>43</v>
      </c>
      <c r="C27" s="5">
        <v>46211</v>
      </c>
      <c r="D27" s="37">
        <v>54</v>
      </c>
      <c r="E27" s="40">
        <v>8</v>
      </c>
      <c r="F27" s="39">
        <f>IF(E27=0,0,D27/E27)</f>
        <v>6.75</v>
      </c>
      <c r="G27" s="28">
        <f>IF(E27=0,0,SUMPRODUCT(F27:F28,J27:J28)/(I27*2.52))</f>
        <v>1.4738756613756612</v>
      </c>
      <c r="H27" s="29">
        <f>G27*I27*E27</f>
        <v>459.84920634920627</v>
      </c>
      <c r="I27" s="29">
        <v>39</v>
      </c>
      <c r="J27" s="6">
        <v>1.39</v>
      </c>
      <c r="K27" s="7">
        <f>2.52/J27*I27</f>
        <v>70.705035971223026</v>
      </c>
      <c r="L27" s="10">
        <f>E27*I27</f>
        <v>312</v>
      </c>
    </row>
    <row r="28" spans="1:12">
      <c r="A28" s="27"/>
      <c r="B28" s="4" t="s">
        <v>43</v>
      </c>
      <c r="C28" s="5">
        <v>46211</v>
      </c>
      <c r="D28" s="37">
        <v>713</v>
      </c>
      <c r="E28" s="40"/>
      <c r="F28" s="39">
        <f>IF(E27=0,0,D28/E27)</f>
        <v>89.125</v>
      </c>
      <c r="G28" s="28"/>
      <c r="H28" s="29"/>
      <c r="I28" s="29"/>
      <c r="J28" s="6">
        <v>1.52</v>
      </c>
      <c r="K28" s="7">
        <f>2.52/J28*I27</f>
        <v>64.65789473684211</v>
      </c>
      <c r="L28" s="10"/>
    </row>
    <row r="29" spans="1:12">
      <c r="A29" s="3" t="s">
        <v>44</v>
      </c>
      <c r="B29" s="4" t="s">
        <v>45</v>
      </c>
      <c r="C29" s="5">
        <v>46227</v>
      </c>
      <c r="D29" s="37">
        <v>1000</v>
      </c>
      <c r="E29" s="38">
        <v>8</v>
      </c>
      <c r="F29" s="39">
        <f t="shared" ref="F29:F34" si="0">IF(E29=0,0,D29/E29)</f>
        <v>125</v>
      </c>
      <c r="G29" s="8">
        <f>IF(E29=0,0,SUMPRODUCT(F29:F29,J29:J29)/(I29*2.52))</f>
        <v>1.3528138528138529</v>
      </c>
      <c r="H29" s="9">
        <f t="shared" ref="H29:H34" si="1">G29*I29*E29</f>
        <v>357.14285714285717</v>
      </c>
      <c r="I29" s="9">
        <v>33</v>
      </c>
      <c r="J29" s="6">
        <v>0.9</v>
      </c>
      <c r="K29" s="7">
        <f t="shared" ref="K29:K34" si="2">2.52/J29*I29</f>
        <v>92.399999999999991</v>
      </c>
      <c r="L29" s="10">
        <f t="shared" ref="L29:L34" si="3">E29*I29</f>
        <v>264</v>
      </c>
    </row>
    <row r="30" spans="1:12">
      <c r="A30" s="3" t="s">
        <v>46</v>
      </c>
      <c r="B30" s="4" t="s">
        <v>47</v>
      </c>
      <c r="C30" s="5">
        <v>46202</v>
      </c>
      <c r="D30" s="37">
        <v>2017</v>
      </c>
      <c r="E30" s="38">
        <v>8</v>
      </c>
      <c r="F30" s="39">
        <f t="shared" si="0"/>
        <v>252.125</v>
      </c>
      <c r="G30" s="8">
        <f>IF(E30=0,0,SUMPRODUCT(F30:F30,J30:J30)/(I30*2.52))</f>
        <v>2.3254772629772629</v>
      </c>
      <c r="H30" s="9">
        <f t="shared" si="1"/>
        <v>688.34126984126976</v>
      </c>
      <c r="I30" s="9">
        <v>37</v>
      </c>
      <c r="J30" s="6">
        <v>0.86</v>
      </c>
      <c r="K30" s="7">
        <f t="shared" si="2"/>
        <v>108.41860465116278</v>
      </c>
      <c r="L30" s="10">
        <f t="shared" si="3"/>
        <v>296</v>
      </c>
    </row>
    <row r="31" spans="1:12">
      <c r="A31" s="3" t="s">
        <v>48</v>
      </c>
      <c r="B31" s="4" t="s">
        <v>20</v>
      </c>
      <c r="C31" s="5">
        <v>46223</v>
      </c>
      <c r="D31" s="37">
        <v>1361</v>
      </c>
      <c r="E31" s="38">
        <v>8</v>
      </c>
      <c r="F31" s="39">
        <f t="shared" si="0"/>
        <v>170.125</v>
      </c>
      <c r="G31" s="8">
        <f>IF(E31=0,0,SUMPRODUCT(F31:F31,J31:J31)/(I31*2.52))</f>
        <v>1.5989191729323309</v>
      </c>
      <c r="H31" s="9">
        <f t="shared" si="1"/>
        <v>486.07142857142861</v>
      </c>
      <c r="I31" s="9">
        <v>38</v>
      </c>
      <c r="J31" s="6">
        <v>0.9</v>
      </c>
      <c r="K31" s="7">
        <f t="shared" si="2"/>
        <v>106.39999999999999</v>
      </c>
      <c r="L31" s="10">
        <f t="shared" si="3"/>
        <v>304</v>
      </c>
    </row>
    <row r="32" spans="1:12">
      <c r="A32" s="3" t="s">
        <v>49</v>
      </c>
      <c r="B32" s="4" t="s">
        <v>47</v>
      </c>
      <c r="C32" s="5">
        <v>46213</v>
      </c>
      <c r="D32" s="37">
        <v>2000</v>
      </c>
      <c r="E32" s="38">
        <v>8</v>
      </c>
      <c r="F32" s="39">
        <f t="shared" si="0"/>
        <v>250</v>
      </c>
      <c r="G32" s="8">
        <f>IF(E32=0,0,SUMPRODUCT(F32:F32,J32:J32)/(I32*2.52))</f>
        <v>2.1146616541353382</v>
      </c>
      <c r="H32" s="9">
        <f t="shared" si="1"/>
        <v>642.85714285714278</v>
      </c>
      <c r="I32" s="9">
        <v>38</v>
      </c>
      <c r="J32" s="6">
        <v>0.81</v>
      </c>
      <c r="K32" s="7">
        <f t="shared" si="2"/>
        <v>118.2222222222222</v>
      </c>
      <c r="L32" s="10">
        <f t="shared" si="3"/>
        <v>304</v>
      </c>
    </row>
    <row r="33" spans="1:12">
      <c r="A33" s="3" t="s">
        <v>50</v>
      </c>
      <c r="B33" s="4" t="s">
        <v>47</v>
      </c>
      <c r="C33" s="5">
        <v>46165</v>
      </c>
      <c r="D33" s="37">
        <v>1954</v>
      </c>
      <c r="E33" s="38">
        <v>8</v>
      </c>
      <c r="F33" s="39">
        <f t="shared" si="0"/>
        <v>244.25</v>
      </c>
      <c r="G33" s="8">
        <f>IF(E33=0,0,SUMPRODUCT(F33:F33,J33:J33)/(I33*2.52))</f>
        <v>2.3052338052338053</v>
      </c>
      <c r="H33" s="9">
        <f t="shared" si="1"/>
        <v>682.34920634920638</v>
      </c>
      <c r="I33" s="9">
        <v>37</v>
      </c>
      <c r="J33" s="6">
        <v>0.88</v>
      </c>
      <c r="K33" s="7">
        <f t="shared" si="2"/>
        <v>105.95454545454545</v>
      </c>
      <c r="L33" s="10">
        <f t="shared" si="3"/>
        <v>296</v>
      </c>
    </row>
    <row r="34" spans="1:12">
      <c r="A34" s="27" t="s">
        <v>51</v>
      </c>
      <c r="B34" s="4" t="s">
        <v>43</v>
      </c>
      <c r="C34" s="5">
        <v>46210</v>
      </c>
      <c r="D34" s="37">
        <v>51</v>
      </c>
      <c r="E34" s="40">
        <v>8</v>
      </c>
      <c r="F34" s="39">
        <f t="shared" si="0"/>
        <v>6.375</v>
      </c>
      <c r="G34" s="28">
        <f>IF(E34=0,0,SUMPRODUCT(F34:F35,J34:J35)/(I34*2.52))</f>
        <v>1.7798254985754987</v>
      </c>
      <c r="H34" s="29">
        <f t="shared" si="1"/>
        <v>555.30555555555554</v>
      </c>
      <c r="I34" s="29">
        <v>39</v>
      </c>
      <c r="J34" s="6">
        <v>1.39</v>
      </c>
      <c r="K34" s="7">
        <f t="shared" si="2"/>
        <v>70.705035971223026</v>
      </c>
      <c r="L34" s="10">
        <f t="shared" si="3"/>
        <v>312</v>
      </c>
    </row>
    <row r="35" spans="1:12">
      <c r="A35" s="27"/>
      <c r="B35" s="4" t="s">
        <v>43</v>
      </c>
      <c r="C35" s="5">
        <v>46210</v>
      </c>
      <c r="D35" s="37">
        <v>874</v>
      </c>
      <c r="E35" s="40"/>
      <c r="F35" s="39">
        <f>IF(E34=0,0,D35/E34)</f>
        <v>109.25</v>
      </c>
      <c r="G35" s="28"/>
      <c r="H35" s="29"/>
      <c r="I35" s="29"/>
      <c r="J35" s="6">
        <v>1.52</v>
      </c>
      <c r="K35" s="7">
        <f>2.52/J35*I34</f>
        <v>64.65789473684211</v>
      </c>
      <c r="L35" s="10"/>
    </row>
    <row r="36" spans="1:12">
      <c r="A36" s="3" t="s">
        <v>52</v>
      </c>
      <c r="B36" s="4" t="s">
        <v>45</v>
      </c>
      <c r="C36" s="5">
        <v>46227</v>
      </c>
      <c r="D36" s="37">
        <v>1117</v>
      </c>
      <c r="E36" s="38">
        <v>8</v>
      </c>
      <c r="F36" s="39">
        <f>IF(E36=0,0,D36/E36)</f>
        <v>139.625</v>
      </c>
      <c r="G36" s="8">
        <f>IF(E36=0,0,SUMPRODUCT(F36:F36,J36:J36)/(I36*2.52))</f>
        <v>1.3477316602316605</v>
      </c>
      <c r="H36" s="9">
        <f>G36*I36*E36</f>
        <v>398.9285714285715</v>
      </c>
      <c r="I36" s="9">
        <v>37</v>
      </c>
      <c r="J36" s="6">
        <v>0.9</v>
      </c>
      <c r="K36" s="7">
        <f>2.52/J36*I36</f>
        <v>103.6</v>
      </c>
      <c r="L36" s="10">
        <f>E36*I36</f>
        <v>296</v>
      </c>
    </row>
    <row r="37" spans="1:12">
      <c r="A37" s="27" t="s">
        <v>53</v>
      </c>
      <c r="B37" s="4" t="s">
        <v>27</v>
      </c>
      <c r="C37" s="5">
        <v>46221</v>
      </c>
      <c r="D37" s="37">
        <v>807</v>
      </c>
      <c r="E37" s="40">
        <v>8</v>
      </c>
      <c r="F37" s="39">
        <f>IF(E37=0,0,D37/E37)</f>
        <v>100.875</v>
      </c>
      <c r="G37" s="28">
        <f>IF(E37=0,0,SUMPRODUCT(F37:F38,J37:J38)/(I37*2.52))</f>
        <v>1.3535499785499787</v>
      </c>
      <c r="H37" s="29">
        <f>G37*I37*E37</f>
        <v>400.65079365079367</v>
      </c>
      <c r="I37" s="29">
        <v>37</v>
      </c>
      <c r="J37" s="6">
        <v>1.21</v>
      </c>
      <c r="K37" s="7">
        <f>2.52/J37*I37</f>
        <v>77.057851239669432</v>
      </c>
      <c r="L37" s="10">
        <f>E37*I37</f>
        <v>296</v>
      </c>
    </row>
    <row r="38" spans="1:12">
      <c r="A38" s="27"/>
      <c r="B38" s="4" t="s">
        <v>54</v>
      </c>
      <c r="C38" s="5">
        <v>46232</v>
      </c>
      <c r="D38" s="37">
        <v>31</v>
      </c>
      <c r="E38" s="40"/>
      <c r="F38" s="39">
        <f>IF(E37=0,0,D38/E37)</f>
        <v>3.875</v>
      </c>
      <c r="G38" s="28"/>
      <c r="H38" s="29"/>
      <c r="I38" s="29"/>
      <c r="J38" s="6">
        <v>1.07</v>
      </c>
      <c r="K38" s="7">
        <f>2.52/J38*I37</f>
        <v>87.140186915887838</v>
      </c>
      <c r="L38" s="10"/>
    </row>
    <row r="39" spans="1:12">
      <c r="A39" s="21" t="s">
        <v>55</v>
      </c>
      <c r="B39" s="22"/>
      <c r="C39" s="23"/>
      <c r="D39" s="11">
        <f>SUM(D5:D38)</f>
        <v>34154</v>
      </c>
      <c r="E39" s="12">
        <f>SUM(E5:E38)</f>
        <v>159</v>
      </c>
      <c r="F39" s="13"/>
      <c r="G39" s="14">
        <f>SUM(H5:H38)/L39</f>
        <v>1.7253423152961846</v>
      </c>
      <c r="H39" s="11"/>
      <c r="I39" s="11">
        <f>SUM(I5:I38)</f>
        <v>736</v>
      </c>
      <c r="J39" s="11"/>
      <c r="K39" s="13"/>
      <c r="L39" s="15">
        <f>SUM(L5:L38)</f>
        <v>5853</v>
      </c>
    </row>
    <row r="40" spans="1:12" ht="13.5" thickBot="1">
      <c r="A40" s="24" t="s">
        <v>56</v>
      </c>
      <c r="B40" s="25"/>
      <c r="C40" s="26"/>
      <c r="D40" s="16">
        <f>SUMIF(A5:A39, "&lt;&gt;Summary", D5:D39)</f>
        <v>34154</v>
      </c>
      <c r="E40" s="17">
        <f>SUMIF(A5:A39, "&lt;&gt;Summary", E5:E39)</f>
        <v>159</v>
      </c>
      <c r="F40" s="18"/>
      <c r="G40" s="19">
        <f>SUMIF(A5:A39, "&lt;&gt;Summary", H5:H39)/L40</f>
        <v>1.7253423152961846</v>
      </c>
      <c r="H40" s="16"/>
      <c r="I40" s="16">
        <f>SUMIF(A5:A39, "&lt;&gt;Summary", I5:I39)</f>
        <v>736</v>
      </c>
      <c r="J40" s="16"/>
      <c r="K40" s="18"/>
      <c r="L40" s="20">
        <f>SUMIF(A5:A39, "&lt;&gt;Summary", L5:L39)</f>
        <v>5853</v>
      </c>
    </row>
    <row r="41" spans="1:12" ht="13.5" thickTop="1"/>
    <row r="42" spans="1:12">
      <c r="B42" s="36"/>
      <c r="C42" s="36" t="s">
        <v>57</v>
      </c>
      <c r="D42" s="36">
        <f>SUM(H5:H10)/SUM(L5:L10)</f>
        <v>1.4980393456385106</v>
      </c>
      <c r="E42" s="36"/>
    </row>
    <row r="43" spans="1:12">
      <c r="B43" s="36"/>
      <c r="C43" s="36" t="s">
        <v>58</v>
      </c>
      <c r="D43" s="36">
        <f>SUM(H11:H23)/SUM(L11:L23)</f>
        <v>1.8399817588325651</v>
      </c>
      <c r="E43" s="36"/>
    </row>
    <row r="44" spans="1:12">
      <c r="B44" s="36"/>
      <c r="C44" s="36" t="s">
        <v>59</v>
      </c>
      <c r="D44" s="36">
        <f>SUM(H24:H31)/SUM(L24:L31)</f>
        <v>1.7751136971642589</v>
      </c>
      <c r="E44" s="36"/>
    </row>
    <row r="45" spans="1:12">
      <c r="B45" s="36"/>
      <c r="C45" s="36" t="s">
        <v>60</v>
      </c>
      <c r="D45" s="36">
        <f>SUM(H32:H38)/SUM(L32:L38)</f>
        <v>1.7819755783519082</v>
      </c>
      <c r="E45" s="36"/>
    </row>
    <row r="46" spans="1:12">
      <c r="B46" s="36"/>
      <c r="C46" s="36"/>
      <c r="D46" s="36"/>
      <c r="E46" s="36"/>
    </row>
  </sheetData>
  <mergeCells count="54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1:A12"/>
    <mergeCell ref="E11:E12"/>
    <mergeCell ref="G11:G12"/>
    <mergeCell ref="H11:H12"/>
    <mergeCell ref="I11:I12"/>
    <mergeCell ref="A9:A10"/>
    <mergeCell ref="E9:E10"/>
    <mergeCell ref="G9:G10"/>
    <mergeCell ref="H9:H10"/>
    <mergeCell ref="I9:I10"/>
    <mergeCell ref="A22:A23"/>
    <mergeCell ref="E22:E23"/>
    <mergeCell ref="G22:G23"/>
    <mergeCell ref="H22:H23"/>
    <mergeCell ref="I22:I23"/>
    <mergeCell ref="A15:A21"/>
    <mergeCell ref="E15:E21"/>
    <mergeCell ref="G15:G21"/>
    <mergeCell ref="H15:H21"/>
    <mergeCell ref="I15:I21"/>
    <mergeCell ref="A27:A28"/>
    <mergeCell ref="E27:E28"/>
    <mergeCell ref="G27:G28"/>
    <mergeCell ref="H27:H28"/>
    <mergeCell ref="I27:I28"/>
    <mergeCell ref="A24:A26"/>
    <mergeCell ref="E24:E26"/>
    <mergeCell ref="G24:G26"/>
    <mergeCell ref="H24:H26"/>
    <mergeCell ref="I24:I26"/>
    <mergeCell ref="H34:H35"/>
    <mergeCell ref="I34:I35"/>
    <mergeCell ref="A37:A38"/>
    <mergeCell ref="E37:E38"/>
    <mergeCell ref="G37:G38"/>
    <mergeCell ref="H37:H38"/>
    <mergeCell ref="I37:I38"/>
    <mergeCell ref="A39:C39"/>
    <mergeCell ref="A40:C40"/>
    <mergeCell ref="A34:A35"/>
    <mergeCell ref="E34:E35"/>
    <mergeCell ref="G34:G35"/>
  </mergeCells>
  <printOptions horizontalCentered="1"/>
  <pageMargins left="0.2" right="0.2" top="1" bottom="0.2" header="0.2" footer="0.2"/>
  <pageSetup paperSize="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2026-07-31T01:01:54Z</dcterms:created>
  <dcterms:modified xsi:type="dcterms:W3CDTF">2026-07-31T01:03:51Z</dcterms:modified>
</cp:coreProperties>
</file>