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J36" i="1"/>
  <c r="E36"/>
  <c r="D36"/>
  <c r="J34"/>
  <c r="E34"/>
  <c r="D34"/>
  <c r="M32"/>
  <c r="G32"/>
  <c r="I32" s="1"/>
  <c r="L33"/>
  <c r="F33"/>
  <c r="L32"/>
  <c r="F32"/>
  <c r="M31"/>
  <c r="G31"/>
  <c r="I31" s="1"/>
  <c r="L31"/>
  <c r="F31"/>
  <c r="M30"/>
  <c r="G30"/>
  <c r="I30" s="1"/>
  <c r="L30"/>
  <c r="F30"/>
  <c r="M29"/>
  <c r="L29"/>
  <c r="F29"/>
  <c r="G29" s="1"/>
  <c r="I29" s="1"/>
  <c r="M28"/>
  <c r="L28"/>
  <c r="F28"/>
  <c r="G28" s="1"/>
  <c r="I28" s="1"/>
  <c r="D41" s="1"/>
  <c r="M27"/>
  <c r="G27"/>
  <c r="I27" s="1"/>
  <c r="L27"/>
  <c r="F27"/>
  <c r="M25"/>
  <c r="L26"/>
  <c r="F26"/>
  <c r="L25"/>
  <c r="F25"/>
  <c r="G25" s="1"/>
  <c r="I25" s="1"/>
  <c r="M24"/>
  <c r="G24"/>
  <c r="I24" s="1"/>
  <c r="L24"/>
  <c r="F24"/>
  <c r="M22"/>
  <c r="L23"/>
  <c r="F23"/>
  <c r="L22"/>
  <c r="F22"/>
  <c r="G22" s="1"/>
  <c r="I22" s="1"/>
  <c r="M20"/>
  <c r="L21"/>
  <c r="F21"/>
  <c r="L20"/>
  <c r="F20"/>
  <c r="G20" s="1"/>
  <c r="I20" s="1"/>
  <c r="M19"/>
  <c r="L19"/>
  <c r="F19"/>
  <c r="G19" s="1"/>
  <c r="I19" s="1"/>
  <c r="M16"/>
  <c r="L18"/>
  <c r="F18"/>
  <c r="L17"/>
  <c r="F17"/>
  <c r="G16" s="1"/>
  <c r="I16" s="1"/>
  <c r="L16"/>
  <c r="F16"/>
  <c r="M14"/>
  <c r="L15"/>
  <c r="F15"/>
  <c r="L14"/>
  <c r="F14"/>
  <c r="G14" s="1"/>
  <c r="I14" s="1"/>
  <c r="M13"/>
  <c r="G13"/>
  <c r="I13" s="1"/>
  <c r="L13"/>
  <c r="F13"/>
  <c r="M11"/>
  <c r="L12"/>
  <c r="F12"/>
  <c r="L11"/>
  <c r="F11"/>
  <c r="G11" s="1"/>
  <c r="I11" s="1"/>
  <c r="M10"/>
  <c r="G10"/>
  <c r="I10" s="1"/>
  <c r="L10"/>
  <c r="F10"/>
  <c r="M9"/>
  <c r="G9"/>
  <c r="I9" s="1"/>
  <c r="L9"/>
  <c r="F9"/>
  <c r="M8"/>
  <c r="L8"/>
  <c r="F8"/>
  <c r="G8" s="1"/>
  <c r="I8" s="1"/>
  <c r="M7"/>
  <c r="L7"/>
  <c r="F7"/>
  <c r="G7" s="1"/>
  <c r="I7" s="1"/>
  <c r="M5"/>
  <c r="M36" s="1"/>
  <c r="G36" s="1"/>
  <c r="L6"/>
  <c r="F6"/>
  <c r="L5"/>
  <c r="F5"/>
  <c r="G5" s="1"/>
  <c r="I5" s="1"/>
  <c r="D38" s="1"/>
  <c r="D39" l="1"/>
  <c r="D40"/>
  <c r="M34"/>
  <c r="G34" s="1"/>
</calcChain>
</file>

<file path=xl/sharedStrings.xml><?xml version="1.0" encoding="utf-8"?>
<sst xmlns="http://schemas.openxmlformats.org/spreadsheetml/2006/main" count="69" uniqueCount="57">
  <si>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</si>
  <si>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</si>
  <si>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</si>
  <si>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</si>
  <si>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</si>
  <si>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</si>
  <si>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</si>
  <si>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</si>
  <si>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</si>
  <si>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</si>
  <si>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</si>
  <si>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</si>
  <si>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</si>
  <si>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</si>
  <si>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</si>
  <si>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</si>
  <si>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</si>
  <si>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</si>
  <si>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319260007</t>
  </si>
  <si>
    <t>5-04</t>
  </si>
  <si>
    <t>5-05</t>
  </si>
  <si>
    <t>W98Z8Z_C426IND</t>
  </si>
  <si>
    <t>5-06</t>
  </si>
  <si>
    <t>5-07</t>
  </si>
  <si>
    <t>LK881_FA26</t>
  </si>
  <si>
    <t>5-08</t>
  </si>
  <si>
    <t>319260006</t>
  </si>
  <si>
    <t>ST841_FA26</t>
  </si>
  <si>
    <t>5-09</t>
  </si>
  <si>
    <t>ZC6FR420R/P</t>
  </si>
  <si>
    <t>5-10</t>
  </si>
  <si>
    <t>ZS5FR410_FA26</t>
  </si>
  <si>
    <t>5-11</t>
  </si>
  <si>
    <t>L0R516_C426IND</t>
  </si>
  <si>
    <t>5-12</t>
  </si>
  <si>
    <t>1K62MR_C426</t>
  </si>
  <si>
    <t>K864_FA26</t>
  </si>
  <si>
    <t>5-13</t>
  </si>
  <si>
    <t>MX6FK108_HO26</t>
  </si>
  <si>
    <t>5-14</t>
  </si>
  <si>
    <t>K880_FA26</t>
  </si>
  <si>
    <t>LK880_FA26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</si>
  <si>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</si>
  <si>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</si>
  <si>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</si>
  <si>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</si>
  <si>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</si>
  <si>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</si>
  <si>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</si>
  <si>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</si>
  <si>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Summary</t>
  </si>
  <si>
    <t>Grand Total</t>
  </si>
  <si>
    <t>LINE 1-5</t>
  </si>
  <si>
    <t>LINE 6-10</t>
  </si>
  <si>
    <t>LINE 11-15</t>
  </si>
  <si>
    <t>LINE 16-20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</si>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</sst>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167" fontId="2" fillId="0" borderId="0" xfId="0" applyNumberFormat="1" applyFont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41"/>
  <sheetViews>
    <sheetView tabSelected="1" workbookViewId="0">
      <pane ySplit="4" topLeftCell="A5" activePane="bottomLeft" state="frozen"/>
      <selection pane="bottomLeft" activeCell="B13" sqref="B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7" width="8.7109375" style="1" customWidth="1"/>
    <col min="8" max="8" width="13.7109375" style="1" customWidth="1"/>
    <col min="9" max="9" width="8.7109375" style="1" customWidth="1"/>
    <col min="10" max="16384" width="9.140625" style="1"/>
  </cols>
  <sheetData>
    <row r="1" spans="1:13">
      <c r="A1" s="1" t="s">
        <v>0</v>
      </c>
      <c r="B1" s="2">
        <v>46240</v>
      </c>
    </row>
    <row r="2" spans="1:13" ht="13.5" thickBot="1"/>
    <row r="3" spans="1:13" ht="13.5" thickTop="1">
      <c r="A3" s="39" t="s">
        <v>1</v>
      </c>
      <c r="B3" s="35" t="s">
        <v>2</v>
      </c>
      <c r="C3" s="35" t="s">
        <v>3</v>
      </c>
      <c r="D3" s="35" t="s">
        <v>4</v>
      </c>
      <c r="E3" s="35" t="s">
        <v>5</v>
      </c>
      <c r="F3" s="35" t="s">
        <v>6</v>
      </c>
      <c r="G3" s="35" t="s">
        <v>7</v>
      </c>
      <c r="H3" s="43" t="s">
        <v>56</v>
      </c>
      <c r="I3" s="35" t="s">
        <v>8</v>
      </c>
      <c r="J3" s="35" t="s">
        <v>9</v>
      </c>
      <c r="K3" s="35" t="s">
        <v>10</v>
      </c>
      <c r="L3" s="35" t="s">
        <v>11</v>
      </c>
      <c r="M3" s="37" t="s">
        <v>12</v>
      </c>
    </row>
    <row r="4" spans="1:13">
      <c r="A4" s="40"/>
      <c r="B4" s="36"/>
      <c r="C4" s="36"/>
      <c r="D4" s="36"/>
      <c r="E4" s="36"/>
      <c r="F4" s="36"/>
      <c r="G4" s="36"/>
      <c r="H4" s="44"/>
      <c r="I4" s="36"/>
      <c r="J4" s="36"/>
      <c r="K4" s="36"/>
      <c r="L4" s="36"/>
      <c r="M4" s="38"/>
    </row>
    <row r="5" spans="1:13">
      <c r="A5" s="31" t="s">
        <v>13</v>
      </c>
      <c r="B5" s="3" t="s">
        <v>14</v>
      </c>
      <c r="C5" s="4">
        <v>46220</v>
      </c>
      <c r="D5" s="5">
        <v>8</v>
      </c>
      <c r="E5" s="32">
        <v>8</v>
      </c>
      <c r="F5" s="6">
        <f>IF(E5=0,0,D5/E5)</f>
        <v>1</v>
      </c>
      <c r="G5" s="33">
        <f>IF(E5=0,0,SUMPRODUCT(F5:F6,K5:K6)/(J5*2.52))</f>
        <v>0.72738363363363379</v>
      </c>
      <c r="H5" s="45">
        <v>0.8</v>
      </c>
      <c r="I5" s="34">
        <f>G5*J5*E5</f>
        <v>215.3055555555556</v>
      </c>
      <c r="J5" s="34">
        <v>37</v>
      </c>
      <c r="K5" s="5">
        <v>1.81</v>
      </c>
      <c r="L5" s="6">
        <f>2.52/K5*J5</f>
        <v>51.513812154696133</v>
      </c>
      <c r="M5" s="7">
        <f>E5*J5</f>
        <v>296</v>
      </c>
    </row>
    <row r="6" spans="1:13">
      <c r="A6" s="31"/>
      <c r="B6" s="3" t="s">
        <v>15</v>
      </c>
      <c r="C6" s="4">
        <v>46238</v>
      </c>
      <c r="D6" s="5">
        <v>607</v>
      </c>
      <c r="E6" s="32"/>
      <c r="F6" s="6">
        <f>IF(E5=0,0,D6/E5)</f>
        <v>75.875</v>
      </c>
      <c r="G6" s="33"/>
      <c r="H6" s="46"/>
      <c r="I6" s="34"/>
      <c r="J6" s="34"/>
      <c r="K6" s="5">
        <v>0.87</v>
      </c>
      <c r="L6" s="6">
        <f>2.52/K6*J5</f>
        <v>107.17241379310344</v>
      </c>
      <c r="M6" s="7"/>
    </row>
    <row r="7" spans="1:13">
      <c r="A7" s="8" t="s">
        <v>16</v>
      </c>
      <c r="B7" s="3" t="s">
        <v>15</v>
      </c>
      <c r="C7" s="4">
        <v>46198</v>
      </c>
      <c r="D7" s="5">
        <v>1367</v>
      </c>
      <c r="E7" s="9">
        <v>8</v>
      </c>
      <c r="F7" s="6">
        <f>IF(E7=0,0,D7/E7)</f>
        <v>170.875</v>
      </c>
      <c r="G7" s="10">
        <f>IF(E7=0,0,SUMPRODUCT(F7:F7,K7:K7)/(J7*2.52))</f>
        <v>1.6855017006802719</v>
      </c>
      <c r="H7" s="10">
        <v>1.75</v>
      </c>
      <c r="I7" s="11">
        <f>G7*J7*E7</f>
        <v>471.94047619047615</v>
      </c>
      <c r="J7" s="11">
        <v>35</v>
      </c>
      <c r="K7" s="5">
        <v>0.87</v>
      </c>
      <c r="L7" s="6">
        <f>2.52/K7*J7</f>
        <v>101.37931034482759</v>
      </c>
      <c r="M7" s="7">
        <f>E7*J7</f>
        <v>280</v>
      </c>
    </row>
    <row r="8" spans="1:13">
      <c r="A8" s="8" t="s">
        <v>17</v>
      </c>
      <c r="B8" s="3" t="s">
        <v>18</v>
      </c>
      <c r="C8" s="4">
        <v>46230</v>
      </c>
      <c r="D8" s="5">
        <v>1294</v>
      </c>
      <c r="E8" s="9">
        <v>8</v>
      </c>
      <c r="F8" s="6">
        <f>IF(E8=0,0,D8/E8)</f>
        <v>161.75</v>
      </c>
      <c r="G8" s="10">
        <f>IF(E8=0,0,SUMPRODUCT(F8:F8,K8:K8)/(J8*2.52))</f>
        <v>1.5155147707231038</v>
      </c>
      <c r="H8" s="10">
        <v>1.5</v>
      </c>
      <c r="I8" s="11">
        <f>G8*J8*E8</f>
        <v>436.46825396825392</v>
      </c>
      <c r="J8" s="11">
        <v>36</v>
      </c>
      <c r="K8" s="5">
        <v>0.85</v>
      </c>
      <c r="L8" s="6">
        <f>2.52/K8*J8</f>
        <v>106.72941176470589</v>
      </c>
      <c r="M8" s="7">
        <f>E8*J8</f>
        <v>288</v>
      </c>
    </row>
    <row r="9" spans="1:13">
      <c r="A9" s="8" t="s">
        <v>19</v>
      </c>
      <c r="B9" s="3" t="s">
        <v>15</v>
      </c>
      <c r="C9" s="4">
        <v>46219</v>
      </c>
      <c r="D9" s="5">
        <v>1441</v>
      </c>
      <c r="E9" s="9">
        <v>8</v>
      </c>
      <c r="F9" s="6">
        <f>IF(E9=0,0,D9/E9)</f>
        <v>180.125</v>
      </c>
      <c r="G9" s="10">
        <f>IF(E9=0,0,SUMPRODUCT(F9:F9,K9:K9)/(J9*2.52))</f>
        <v>1.7767431972789116</v>
      </c>
      <c r="H9" s="10">
        <v>1.85</v>
      </c>
      <c r="I9" s="11">
        <f>G9*J9*E9</f>
        <v>497.48809523809524</v>
      </c>
      <c r="J9" s="11">
        <v>35</v>
      </c>
      <c r="K9" s="5">
        <v>0.87</v>
      </c>
      <c r="L9" s="6">
        <f>2.52/K9*J9</f>
        <v>101.37931034482759</v>
      </c>
      <c r="M9" s="7">
        <f>E9*J9</f>
        <v>280</v>
      </c>
    </row>
    <row r="10" spans="1:13">
      <c r="A10" s="8" t="s">
        <v>20</v>
      </c>
      <c r="B10" s="3" t="s">
        <v>21</v>
      </c>
      <c r="C10" s="4">
        <v>46213</v>
      </c>
      <c r="D10" s="5">
        <v>744</v>
      </c>
      <c r="E10" s="9">
        <v>8</v>
      </c>
      <c r="F10" s="6">
        <f>IF(E10=0,0,D10/E10)</f>
        <v>93</v>
      </c>
      <c r="G10" s="10">
        <f>IF(E10=0,0,SUMPRODUCT(F10:F10,K10:K10)/(J10*2.52))</f>
        <v>2.1007326007326008</v>
      </c>
      <c r="H10" s="10">
        <v>2.1</v>
      </c>
      <c r="I10" s="11">
        <f>G10*J10*E10</f>
        <v>655.42857142857144</v>
      </c>
      <c r="J10" s="11">
        <v>39</v>
      </c>
      <c r="K10" s="5">
        <v>2.2200000000000002</v>
      </c>
      <c r="L10" s="6">
        <f>2.52/K10*J10</f>
        <v>44.270270270270267</v>
      </c>
      <c r="M10" s="7">
        <f>E10*J10</f>
        <v>312</v>
      </c>
    </row>
    <row r="11" spans="1:13">
      <c r="A11" s="31" t="s">
        <v>22</v>
      </c>
      <c r="B11" s="3" t="s">
        <v>21</v>
      </c>
      <c r="C11" s="4">
        <v>46207</v>
      </c>
      <c r="D11" s="5">
        <v>441</v>
      </c>
      <c r="E11" s="32">
        <v>8</v>
      </c>
      <c r="F11" s="6">
        <f>IF(E11=0,0,D11/E11)</f>
        <v>55.125</v>
      </c>
      <c r="G11" s="33">
        <f>IF(E11=0,0,SUMPRODUCT(F11:F12,K11:K12)/(J11*2.52))</f>
        <v>2.1756474519632412</v>
      </c>
      <c r="H11" s="45">
        <v>2.0499999999999998</v>
      </c>
      <c r="I11" s="34">
        <f>G11*J11*E11</f>
        <v>661.39682539682531</v>
      </c>
      <c r="J11" s="34">
        <v>38</v>
      </c>
      <c r="K11" s="5">
        <v>2.2200000000000002</v>
      </c>
      <c r="L11" s="6">
        <f>2.52/K11*J11</f>
        <v>43.13513513513513</v>
      </c>
      <c r="M11" s="7">
        <f>E11*J11</f>
        <v>304</v>
      </c>
    </row>
    <row r="12" spans="1:13">
      <c r="A12" s="31"/>
      <c r="B12" s="3" t="s">
        <v>21</v>
      </c>
      <c r="C12" s="4">
        <v>46207</v>
      </c>
      <c r="D12" s="5">
        <v>299</v>
      </c>
      <c r="E12" s="32"/>
      <c r="F12" s="6">
        <f>IF(E11=0,0,D12/E11)</f>
        <v>37.375</v>
      </c>
      <c r="G12" s="33"/>
      <c r="H12" s="46"/>
      <c r="I12" s="34"/>
      <c r="J12" s="34"/>
      <c r="K12" s="5">
        <v>2.2999999999999998</v>
      </c>
      <c r="L12" s="6">
        <f>2.52/K12*J11</f>
        <v>41.634782608695659</v>
      </c>
      <c r="M12" s="7"/>
    </row>
    <row r="13" spans="1:13">
      <c r="A13" s="8" t="s">
        <v>23</v>
      </c>
      <c r="B13" s="3" t="s">
        <v>24</v>
      </c>
      <c r="C13" s="4">
        <v>46237</v>
      </c>
      <c r="D13" s="5">
        <v>677</v>
      </c>
      <c r="E13" s="9">
        <v>8</v>
      </c>
      <c r="F13" s="6">
        <f>IF(E13=0,0,D13/E13)</f>
        <v>84.625</v>
      </c>
      <c r="G13" s="10">
        <f>IF(E13=0,0,SUMPRODUCT(F13:F13,K13:K13)/(J13*2.52))</f>
        <v>1.6598781179138322</v>
      </c>
      <c r="H13" s="10">
        <v>1.62</v>
      </c>
      <c r="I13" s="11">
        <f>G13*J13*E13</f>
        <v>464.76587301587301</v>
      </c>
      <c r="J13" s="11">
        <v>35</v>
      </c>
      <c r="K13" s="5">
        <v>1.73</v>
      </c>
      <c r="L13" s="6">
        <f>2.52/K13*J13</f>
        <v>50.982658959537574</v>
      </c>
      <c r="M13" s="7">
        <f>E13*J13</f>
        <v>280</v>
      </c>
    </row>
    <row r="14" spans="1:13">
      <c r="A14" s="31" t="s">
        <v>25</v>
      </c>
      <c r="B14" s="3" t="s">
        <v>26</v>
      </c>
      <c r="C14" s="4">
        <v>46232</v>
      </c>
      <c r="D14" s="5">
        <v>54</v>
      </c>
      <c r="E14" s="32">
        <v>8</v>
      </c>
      <c r="F14" s="6">
        <f>IF(E14=0,0,D14/E14)</f>
        <v>6.75</v>
      </c>
      <c r="G14" s="33">
        <f>IF(E14=0,0,SUMPRODUCT(F14:F15,K14:K15)/(J14*2.52))</f>
        <v>0.15256892230576441</v>
      </c>
      <c r="H14" s="45">
        <v>0.5</v>
      </c>
      <c r="I14" s="34">
        <f>G14*J14*E14</f>
        <v>46.38095238095238</v>
      </c>
      <c r="J14" s="34">
        <v>38</v>
      </c>
      <c r="K14" s="5">
        <v>0.65</v>
      </c>
      <c r="L14" s="6">
        <f>2.52/K14*J14</f>
        <v>147.32307692307691</v>
      </c>
      <c r="M14" s="7">
        <f>E14*J14</f>
        <v>304</v>
      </c>
    </row>
    <row r="15" spans="1:13">
      <c r="A15" s="31"/>
      <c r="B15" s="3" t="s">
        <v>27</v>
      </c>
      <c r="C15" s="4">
        <v>46239</v>
      </c>
      <c r="D15" s="5">
        <v>47</v>
      </c>
      <c r="E15" s="32"/>
      <c r="F15" s="6">
        <f>IF(E14=0,0,D15/E14)</f>
        <v>5.875</v>
      </c>
      <c r="G15" s="33"/>
      <c r="H15" s="46"/>
      <c r="I15" s="34"/>
      <c r="J15" s="34"/>
      <c r="K15" s="5">
        <v>1.74</v>
      </c>
      <c r="L15" s="6">
        <f>2.52/K15*J14</f>
        <v>55.03448275862069</v>
      </c>
      <c r="M15" s="7"/>
    </row>
    <row r="16" spans="1:13" ht="15" customHeight="1">
      <c r="A16" s="31" t="s">
        <v>28</v>
      </c>
      <c r="B16" s="3" t="s">
        <v>29</v>
      </c>
      <c r="C16" s="4">
        <v>46191</v>
      </c>
      <c r="D16" s="5">
        <v>537</v>
      </c>
      <c r="E16" s="32">
        <v>8</v>
      </c>
      <c r="F16" s="6">
        <f>IF(E16=0,0,D16/E16)</f>
        <v>67.125</v>
      </c>
      <c r="G16" s="33">
        <f>IF(E16=0,0,SUMPRODUCT(F16:F18,K16:K18)/(J16*2.52))</f>
        <v>0.76426091269841279</v>
      </c>
      <c r="H16" s="45">
        <v>0.5</v>
      </c>
      <c r="I16" s="34">
        <f>G16*J16*E16</f>
        <v>220.10714285714289</v>
      </c>
      <c r="J16" s="34">
        <v>36</v>
      </c>
      <c r="K16" s="5">
        <v>0.96</v>
      </c>
      <c r="L16" s="6">
        <f>2.52/K16*J16</f>
        <v>94.5</v>
      </c>
      <c r="M16" s="7">
        <f>E16*J16</f>
        <v>288</v>
      </c>
    </row>
    <row r="17" spans="1:13">
      <c r="A17" s="31"/>
      <c r="B17" s="3" t="s">
        <v>29</v>
      </c>
      <c r="C17" s="4">
        <v>46191</v>
      </c>
      <c r="D17" s="5">
        <v>29</v>
      </c>
      <c r="E17" s="32"/>
      <c r="F17" s="6">
        <f>IF(E16=0,0,D17/E16)</f>
        <v>3.625</v>
      </c>
      <c r="G17" s="33"/>
      <c r="H17" s="47"/>
      <c r="I17" s="34"/>
      <c r="J17" s="34"/>
      <c r="K17" s="5">
        <v>0.99</v>
      </c>
      <c r="L17" s="6">
        <f>2.52/K17*J16</f>
        <v>91.63636363636364</v>
      </c>
      <c r="M17" s="7"/>
    </row>
    <row r="18" spans="1:13">
      <c r="A18" s="31"/>
      <c r="B18" s="3" t="s">
        <v>27</v>
      </c>
      <c r="C18" s="4">
        <v>46240</v>
      </c>
      <c r="D18" s="5">
        <v>6</v>
      </c>
      <c r="E18" s="32"/>
      <c r="F18" s="6">
        <f>IF(E16=0,0,D18/E16)</f>
        <v>0.75</v>
      </c>
      <c r="G18" s="33"/>
      <c r="H18" s="46"/>
      <c r="I18" s="34"/>
      <c r="J18" s="34"/>
      <c r="K18" s="5">
        <v>1.74</v>
      </c>
      <c r="L18" s="6">
        <f>2.52/K18*J16</f>
        <v>52.137931034482762</v>
      </c>
      <c r="M18" s="7"/>
    </row>
    <row r="19" spans="1:13">
      <c r="A19" s="8" t="s">
        <v>30</v>
      </c>
      <c r="B19" s="3" t="s">
        <v>31</v>
      </c>
      <c r="C19" s="4">
        <v>46157</v>
      </c>
      <c r="D19" s="5">
        <v>1217</v>
      </c>
      <c r="E19" s="9">
        <v>8</v>
      </c>
      <c r="F19" s="6">
        <f>IF(E19=0,0,D19/E19)</f>
        <v>152.125</v>
      </c>
      <c r="G19" s="10">
        <f>IF(E19=0,0,SUMPRODUCT(F19:F19,K19:K19)/(J19*2.52))</f>
        <v>1.8574481074481073</v>
      </c>
      <c r="H19" s="10">
        <v>1.97</v>
      </c>
      <c r="I19" s="11">
        <f>G19*J19*E19</f>
        <v>579.52380952380952</v>
      </c>
      <c r="J19" s="11">
        <v>39</v>
      </c>
      <c r="K19" s="5">
        <v>1.2</v>
      </c>
      <c r="L19" s="6">
        <f>2.52/K19*J19</f>
        <v>81.900000000000006</v>
      </c>
      <c r="M19" s="7">
        <f>E19*J19</f>
        <v>312</v>
      </c>
    </row>
    <row r="20" spans="1:13">
      <c r="A20" s="31" t="s">
        <v>32</v>
      </c>
      <c r="B20" s="3" t="s">
        <v>33</v>
      </c>
      <c r="C20" s="4">
        <v>46154</v>
      </c>
      <c r="D20" s="5">
        <v>622</v>
      </c>
      <c r="E20" s="32">
        <v>8</v>
      </c>
      <c r="F20" s="6">
        <f>IF(E20=0,0,D20/E20)</f>
        <v>77.75</v>
      </c>
      <c r="G20" s="33">
        <f>IF(E20=0,0,SUMPRODUCT(F20:F21,K20:K21)/(J20*2.52))</f>
        <v>2.3047779922779923</v>
      </c>
      <c r="H20" s="45">
        <v>2.2999999999999998</v>
      </c>
      <c r="I20" s="34">
        <f>G20*J20*E20</f>
        <v>682.21428571428567</v>
      </c>
      <c r="J20" s="34">
        <v>37</v>
      </c>
      <c r="K20" s="5">
        <v>2.33</v>
      </c>
      <c r="L20" s="6">
        <f>2.52/K20*J20</f>
        <v>40.017167381974247</v>
      </c>
      <c r="M20" s="7">
        <f>E20*J20</f>
        <v>296</v>
      </c>
    </row>
    <row r="21" spans="1:13">
      <c r="A21" s="31"/>
      <c r="B21" s="3" t="s">
        <v>33</v>
      </c>
      <c r="C21" s="4">
        <v>46154</v>
      </c>
      <c r="D21" s="5">
        <v>112</v>
      </c>
      <c r="E21" s="32"/>
      <c r="F21" s="6">
        <f>IF(E20=0,0,D21/E20)</f>
        <v>14</v>
      </c>
      <c r="G21" s="33"/>
      <c r="H21" s="46"/>
      <c r="I21" s="34"/>
      <c r="J21" s="34"/>
      <c r="K21" s="5">
        <v>2.41</v>
      </c>
      <c r="L21" s="6">
        <f>2.52/K21*J20</f>
        <v>38.688796680497916</v>
      </c>
      <c r="M21" s="7"/>
    </row>
    <row r="22" spans="1:13">
      <c r="A22" s="31" t="s">
        <v>34</v>
      </c>
      <c r="B22" s="3" t="s">
        <v>35</v>
      </c>
      <c r="C22" s="4">
        <v>46230</v>
      </c>
      <c r="D22" s="5">
        <v>31</v>
      </c>
      <c r="E22" s="32">
        <v>8</v>
      </c>
      <c r="F22" s="6">
        <f>IF(E22=0,0,D22/E22)</f>
        <v>3.875</v>
      </c>
      <c r="G22" s="33">
        <f>IF(E22=0,0,SUMPRODUCT(F22:F23,K22:K23)/(J22*2.52))</f>
        <v>0.85028978696741853</v>
      </c>
      <c r="H22" s="45">
        <v>1.1000000000000001</v>
      </c>
      <c r="I22" s="34">
        <f>G22*J22*E22</f>
        <v>258.48809523809524</v>
      </c>
      <c r="J22" s="34">
        <v>38</v>
      </c>
      <c r="K22" s="5">
        <v>1.33</v>
      </c>
      <c r="L22" s="6">
        <f>2.52/K22*J22</f>
        <v>72</v>
      </c>
      <c r="M22" s="7">
        <f>E22*J22</f>
        <v>304</v>
      </c>
    </row>
    <row r="23" spans="1:13">
      <c r="A23" s="31"/>
      <c r="B23" s="3" t="s">
        <v>36</v>
      </c>
      <c r="C23" s="4">
        <v>46235</v>
      </c>
      <c r="D23" s="5">
        <v>526</v>
      </c>
      <c r="E23" s="32"/>
      <c r="F23" s="6">
        <f>IF(E22=0,0,D23/E22)</f>
        <v>65.75</v>
      </c>
      <c r="G23" s="33"/>
      <c r="H23" s="46"/>
      <c r="I23" s="34"/>
      <c r="J23" s="34"/>
      <c r="K23" s="5">
        <v>1.1599999999999999</v>
      </c>
      <c r="L23" s="6">
        <f>2.52/K23*J22</f>
        <v>82.551724137931046</v>
      </c>
      <c r="M23" s="7"/>
    </row>
    <row r="24" spans="1:13">
      <c r="A24" s="8" t="s">
        <v>37</v>
      </c>
      <c r="B24" s="3" t="s">
        <v>38</v>
      </c>
      <c r="C24" s="4">
        <v>46220</v>
      </c>
      <c r="D24" s="5">
        <v>770</v>
      </c>
      <c r="E24" s="9">
        <v>8</v>
      </c>
      <c r="F24" s="6">
        <f>IF(E24=0,0,D24/E24)</f>
        <v>96.25</v>
      </c>
      <c r="G24" s="10">
        <f>IF(E24=0,0,SUMPRODUCT(F24:F24,K24:K24)/(J24*2.52))</f>
        <v>1.5473646723646726</v>
      </c>
      <c r="H24" s="10">
        <v>1.52</v>
      </c>
      <c r="I24" s="11">
        <f>G24*J24*E24</f>
        <v>482.77777777777783</v>
      </c>
      <c r="J24" s="11">
        <v>39</v>
      </c>
      <c r="K24" s="5">
        <v>1.58</v>
      </c>
      <c r="L24" s="6">
        <f>2.52/K24*J24</f>
        <v>62.202531645569614</v>
      </c>
      <c r="M24" s="7">
        <f>E24*J24</f>
        <v>312</v>
      </c>
    </row>
    <row r="25" spans="1:13">
      <c r="A25" s="31" t="s">
        <v>39</v>
      </c>
      <c r="B25" s="3" t="s">
        <v>40</v>
      </c>
      <c r="C25" s="4">
        <v>46192</v>
      </c>
      <c r="D25" s="5">
        <v>793</v>
      </c>
      <c r="E25" s="32">
        <v>8</v>
      </c>
      <c r="F25" s="6">
        <f>IF(E25=0,0,D25/E25)</f>
        <v>99.125</v>
      </c>
      <c r="G25" s="33">
        <f>IF(E25=0,0,SUMPRODUCT(F25:F26,K25:K26)/(J25*2.52))</f>
        <v>1.3399644945697575</v>
      </c>
      <c r="H25" s="45">
        <v>1.9</v>
      </c>
      <c r="I25" s="34">
        <f>G25*J25*E25</f>
        <v>407.34920634920627</v>
      </c>
      <c r="J25" s="34">
        <v>38</v>
      </c>
      <c r="K25" s="5">
        <v>1.28</v>
      </c>
      <c r="L25" s="6">
        <f>2.52/K25*J25</f>
        <v>74.8125</v>
      </c>
      <c r="M25" s="7">
        <f>E25*J25</f>
        <v>304</v>
      </c>
    </row>
    <row r="26" spans="1:13">
      <c r="A26" s="31"/>
      <c r="B26" s="3" t="s">
        <v>41</v>
      </c>
      <c r="C26" s="4">
        <v>46203</v>
      </c>
      <c r="D26" s="5">
        <v>7</v>
      </c>
      <c r="E26" s="32"/>
      <c r="F26" s="6">
        <f>IF(E25=0,0,D26/E25)</f>
        <v>0.875</v>
      </c>
      <c r="G26" s="33"/>
      <c r="H26" s="46"/>
      <c r="I26" s="34"/>
      <c r="J26" s="34"/>
      <c r="K26" s="5">
        <v>1.64</v>
      </c>
      <c r="L26" s="6">
        <f>2.52/K26*J25</f>
        <v>58.390243902439025</v>
      </c>
      <c r="M26" s="7"/>
    </row>
    <row r="27" spans="1:13">
      <c r="A27" s="8" t="s">
        <v>42</v>
      </c>
      <c r="B27" s="3" t="s">
        <v>15</v>
      </c>
      <c r="C27" s="4">
        <v>46209</v>
      </c>
      <c r="D27" s="5">
        <v>1668</v>
      </c>
      <c r="E27" s="9">
        <v>8</v>
      </c>
      <c r="F27" s="6">
        <f>IF(E27=0,0,D27/E27)</f>
        <v>208.5</v>
      </c>
      <c r="G27" s="10">
        <f>IF(E27=0,0,SUMPRODUCT(F27:F27,K27:K27)/(J27*2.52))</f>
        <v>1.8942669172932332</v>
      </c>
      <c r="H27" s="10">
        <v>1.8</v>
      </c>
      <c r="I27" s="11">
        <f t="shared" ref="I27:I32" si="0">G27*J27*E27</f>
        <v>575.85714285714289</v>
      </c>
      <c r="J27" s="11">
        <v>38</v>
      </c>
      <c r="K27" s="5">
        <v>0.87</v>
      </c>
      <c r="L27" s="6">
        <f t="shared" ref="L27:L32" si="1">2.52/K27*J27</f>
        <v>110.06896551724138</v>
      </c>
      <c r="M27" s="7">
        <f t="shared" ref="M27:M32" si="2">E27*J27</f>
        <v>304</v>
      </c>
    </row>
    <row r="28" spans="1:13">
      <c r="A28" s="8" t="s">
        <v>43</v>
      </c>
      <c r="B28" s="3" t="s">
        <v>15</v>
      </c>
      <c r="C28" s="4">
        <v>46209</v>
      </c>
      <c r="D28" s="5">
        <v>1600</v>
      </c>
      <c r="E28" s="9">
        <v>8</v>
      </c>
      <c r="F28" s="6">
        <f>IF(E28=0,0,D28/E28)</f>
        <v>200</v>
      </c>
      <c r="G28" s="10">
        <f>IF(E28=0,0,SUMPRODUCT(F28:F28,K28:K28)/(J28*2.52))</f>
        <v>1.8170426065162906</v>
      </c>
      <c r="H28" s="10">
        <v>1.7</v>
      </c>
      <c r="I28" s="11">
        <f t="shared" si="0"/>
        <v>552.38095238095229</v>
      </c>
      <c r="J28" s="11">
        <v>38</v>
      </c>
      <c r="K28" s="5">
        <v>0.87</v>
      </c>
      <c r="L28" s="6">
        <f t="shared" si="1"/>
        <v>110.06896551724138</v>
      </c>
      <c r="M28" s="7">
        <f t="shared" si="2"/>
        <v>304</v>
      </c>
    </row>
    <row r="29" spans="1:13">
      <c r="A29" s="8" t="s">
        <v>44</v>
      </c>
      <c r="B29" s="3" t="s">
        <v>21</v>
      </c>
      <c r="C29" s="4">
        <v>46155</v>
      </c>
      <c r="D29" s="5">
        <v>760</v>
      </c>
      <c r="E29" s="9">
        <v>8</v>
      </c>
      <c r="F29" s="6">
        <f>IF(E29=0,0,D29/E29)</f>
        <v>95</v>
      </c>
      <c r="G29" s="10">
        <f>IF(E29=0,0,SUMPRODUCT(F29:F29,K29:K29)/(J29*2.52))</f>
        <v>2.1459096459096458</v>
      </c>
      <c r="H29" s="10">
        <v>2.11</v>
      </c>
      <c r="I29" s="11">
        <f t="shared" si="0"/>
        <v>669.52380952380952</v>
      </c>
      <c r="J29" s="11">
        <v>39</v>
      </c>
      <c r="K29" s="5">
        <v>2.2200000000000002</v>
      </c>
      <c r="L29" s="6">
        <f t="shared" si="1"/>
        <v>44.270270270270267</v>
      </c>
      <c r="M29" s="7">
        <f t="shared" si="2"/>
        <v>312</v>
      </c>
    </row>
    <row r="30" spans="1:13">
      <c r="A30" s="8" t="s">
        <v>45</v>
      </c>
      <c r="B30" s="3" t="s">
        <v>15</v>
      </c>
      <c r="C30" s="4">
        <v>46219</v>
      </c>
      <c r="D30" s="5">
        <v>1395</v>
      </c>
      <c r="E30" s="9">
        <v>8</v>
      </c>
      <c r="F30" s="6">
        <f>IF(E30=0,0,D30/E30)</f>
        <v>174.375</v>
      </c>
      <c r="G30" s="10">
        <f>IF(E30=0,0,SUMPRODUCT(F30:F30,K30:K30)/(J30*2.52))</f>
        <v>1.6722470238095239</v>
      </c>
      <c r="H30" s="10">
        <v>1.62</v>
      </c>
      <c r="I30" s="11">
        <f t="shared" si="0"/>
        <v>481.60714285714289</v>
      </c>
      <c r="J30" s="11">
        <v>36</v>
      </c>
      <c r="K30" s="5">
        <v>0.87</v>
      </c>
      <c r="L30" s="6">
        <f t="shared" si="1"/>
        <v>104.27586206896552</v>
      </c>
      <c r="M30" s="7">
        <f t="shared" si="2"/>
        <v>288</v>
      </c>
    </row>
    <row r="31" spans="1:13">
      <c r="A31" s="8" t="s">
        <v>46</v>
      </c>
      <c r="B31" s="3" t="s">
        <v>15</v>
      </c>
      <c r="C31" s="4">
        <v>46192</v>
      </c>
      <c r="D31" s="5">
        <v>1606</v>
      </c>
      <c r="E31" s="9">
        <v>8</v>
      </c>
      <c r="F31" s="6">
        <f>IF(E31=0,0,D31/E31)</f>
        <v>200.75</v>
      </c>
      <c r="G31" s="10">
        <f>IF(E31=0,0,SUMPRODUCT(F31:F31,K31:K31)/(J31*2.52))</f>
        <v>1.7770909645909645</v>
      </c>
      <c r="H31" s="10">
        <v>1.78</v>
      </c>
      <c r="I31" s="11">
        <f t="shared" si="0"/>
        <v>554.45238095238096</v>
      </c>
      <c r="J31" s="11">
        <v>39</v>
      </c>
      <c r="K31" s="5">
        <v>0.87</v>
      </c>
      <c r="L31" s="6">
        <f t="shared" si="1"/>
        <v>112.96551724137932</v>
      </c>
      <c r="M31" s="7">
        <f t="shared" si="2"/>
        <v>312</v>
      </c>
    </row>
    <row r="32" spans="1:13">
      <c r="A32" s="31" t="s">
        <v>47</v>
      </c>
      <c r="B32" s="3" t="s">
        <v>48</v>
      </c>
      <c r="C32" s="4">
        <v>46219</v>
      </c>
      <c r="D32" s="5">
        <v>64</v>
      </c>
      <c r="E32" s="32">
        <v>8</v>
      </c>
      <c r="F32" s="6">
        <f>IF(E32=0,0,D32/E32)</f>
        <v>8</v>
      </c>
      <c r="G32" s="33">
        <f>IF(E32=0,0,SUMPRODUCT(F32:F33,K32:K33)/(J32*2.52))</f>
        <v>1.8315100815100818</v>
      </c>
      <c r="H32" s="45">
        <v>1.3</v>
      </c>
      <c r="I32" s="34">
        <f t="shared" si="0"/>
        <v>542.12698412698421</v>
      </c>
      <c r="J32" s="34">
        <v>37</v>
      </c>
      <c r="K32" s="5">
        <v>2.09</v>
      </c>
      <c r="L32" s="6">
        <f t="shared" si="1"/>
        <v>44.612440191387563</v>
      </c>
      <c r="M32" s="7">
        <f t="shared" si="2"/>
        <v>296</v>
      </c>
    </row>
    <row r="33" spans="1:13">
      <c r="A33" s="31"/>
      <c r="B33" s="3" t="s">
        <v>49</v>
      </c>
      <c r="C33" s="4">
        <v>46237</v>
      </c>
      <c r="D33" s="5">
        <v>1560</v>
      </c>
      <c r="E33" s="32"/>
      <c r="F33" s="6">
        <f>IF(E32=0,0,D33/E32)</f>
        <v>195</v>
      </c>
      <c r="G33" s="33"/>
      <c r="H33" s="46"/>
      <c r="I33" s="34"/>
      <c r="J33" s="34"/>
      <c r="K33" s="5">
        <v>0.79</v>
      </c>
      <c r="L33" s="6">
        <f>2.52/K33*J32</f>
        <v>118.02531645569618</v>
      </c>
      <c r="M33" s="7"/>
    </row>
    <row r="34" spans="1:13">
      <c r="A34" s="25" t="s">
        <v>50</v>
      </c>
      <c r="B34" s="26"/>
      <c r="C34" s="27"/>
      <c r="D34" s="12">
        <f>SUM(D5:D33)</f>
        <v>20282</v>
      </c>
      <c r="E34" s="13">
        <f>SUM(E5:E33)</f>
        <v>160</v>
      </c>
      <c r="F34" s="14"/>
      <c r="G34" s="15">
        <f>SUM(I5:I33)/M34</f>
        <v>1.5822595939312807</v>
      </c>
      <c r="H34" s="15"/>
      <c r="I34" s="12"/>
      <c r="J34" s="12">
        <f>SUM(J5:J33)</f>
        <v>747</v>
      </c>
      <c r="K34" s="12"/>
      <c r="L34" s="14"/>
      <c r="M34" s="16">
        <f>SUM(M5:M33)</f>
        <v>5976</v>
      </c>
    </row>
    <row r="35" spans="1:13">
      <c r="A35" s="17"/>
      <c r="B35" s="5"/>
      <c r="C35" s="4"/>
      <c r="D35" s="5"/>
      <c r="E35" s="18"/>
      <c r="F35" s="6"/>
      <c r="G35" s="19"/>
      <c r="H35" s="19"/>
      <c r="I35" s="5"/>
      <c r="J35" s="5"/>
      <c r="K35" s="5"/>
      <c r="L35" s="6"/>
      <c r="M35" s="7"/>
    </row>
    <row r="36" spans="1:13" ht="13.5" thickBot="1">
      <c r="A36" s="28" t="s">
        <v>51</v>
      </c>
      <c r="B36" s="29"/>
      <c r="C36" s="30"/>
      <c r="D36" s="20">
        <f>SUMIF(A5:A35, "&lt;&gt;Summary", D5:D35)</f>
        <v>20282</v>
      </c>
      <c r="E36" s="21">
        <f>SUMIF(A5:A35, "&lt;&gt;Summary", E5:E35)</f>
        <v>160</v>
      </c>
      <c r="F36" s="22"/>
      <c r="G36" s="23">
        <f>SUMIF(A5:A35, "&lt;&gt;Summary", I5:I35)/M36</f>
        <v>1.5822595939312807</v>
      </c>
      <c r="H36" s="23"/>
      <c r="I36" s="20"/>
      <c r="J36" s="20">
        <f>SUMIF(A5:A35, "&lt;&gt;Summary", J5:J35)</f>
        <v>747</v>
      </c>
      <c r="K36" s="20"/>
      <c r="L36" s="22"/>
      <c r="M36" s="24">
        <f>SUMIF(A5:A35, "&lt;&gt;Summary", M5:M35)</f>
        <v>5976</v>
      </c>
    </row>
    <row r="37" spans="1:13" ht="13.5" thickTop="1"/>
    <row r="38" spans="1:13">
      <c r="C38" s="41" t="s">
        <v>52</v>
      </c>
      <c r="D38" s="42">
        <f>SUM(I5:I10)/SUM(M5:M10)</f>
        <v>1.5636201596023025</v>
      </c>
    </row>
    <row r="39" spans="1:13">
      <c r="C39" s="41" t="s">
        <v>53</v>
      </c>
      <c r="D39" s="42">
        <f>SUM(I11:I19)/SUM(M11:M19)</f>
        <v>1.3253861580474482</v>
      </c>
    </row>
    <row r="40" spans="1:13">
      <c r="C40" s="41" t="s">
        <v>54</v>
      </c>
      <c r="D40" s="42">
        <f>SUM(I20:I27)/SUM(M20:M27)</f>
        <v>1.5833463868003341</v>
      </c>
    </row>
    <row r="41" spans="1:13">
      <c r="C41" s="41" t="s">
        <v>55</v>
      </c>
      <c r="D41" s="42">
        <f>SUM(I28:I33)/SUM(M28:M33)</f>
        <v>1.8519122155034853</v>
      </c>
    </row>
  </sheetData>
  <mergeCells count="63">
    <mergeCell ref="M3:M4"/>
    <mergeCell ref="A3:A4"/>
    <mergeCell ref="B3:B4"/>
    <mergeCell ref="C3:C4"/>
    <mergeCell ref="D3:D4"/>
    <mergeCell ref="E3:E4"/>
    <mergeCell ref="F3:F4"/>
    <mergeCell ref="H3:H4"/>
    <mergeCell ref="G3:G4"/>
    <mergeCell ref="I3:I4"/>
    <mergeCell ref="J3:J4"/>
    <mergeCell ref="K3:K4"/>
    <mergeCell ref="L3:L4"/>
    <mergeCell ref="A11:A12"/>
    <mergeCell ref="E11:E12"/>
    <mergeCell ref="G11:G12"/>
    <mergeCell ref="I11:I12"/>
    <mergeCell ref="J11:J12"/>
    <mergeCell ref="H11:H12"/>
    <mergeCell ref="A5:A6"/>
    <mergeCell ref="E5:E6"/>
    <mergeCell ref="G5:G6"/>
    <mergeCell ref="I5:I6"/>
    <mergeCell ref="J5:J6"/>
    <mergeCell ref="H5:H6"/>
    <mergeCell ref="A16:A18"/>
    <mergeCell ref="E16:E18"/>
    <mergeCell ref="G16:G18"/>
    <mergeCell ref="I16:I18"/>
    <mergeCell ref="J16:J18"/>
    <mergeCell ref="H16:H18"/>
    <mergeCell ref="A14:A15"/>
    <mergeCell ref="E14:E15"/>
    <mergeCell ref="G14:G15"/>
    <mergeCell ref="I14:I15"/>
    <mergeCell ref="J14:J15"/>
    <mergeCell ref="H14:H15"/>
    <mergeCell ref="A22:A23"/>
    <mergeCell ref="E22:E23"/>
    <mergeCell ref="G22:G23"/>
    <mergeCell ref="I22:I23"/>
    <mergeCell ref="J22:J23"/>
    <mergeCell ref="H20:H21"/>
    <mergeCell ref="H22:H23"/>
    <mergeCell ref="A20:A21"/>
    <mergeCell ref="E20:E21"/>
    <mergeCell ref="G20:G21"/>
    <mergeCell ref="I20:I21"/>
    <mergeCell ref="J20:J21"/>
    <mergeCell ref="I25:I26"/>
    <mergeCell ref="J25:J26"/>
    <mergeCell ref="A32:A33"/>
    <mergeCell ref="E32:E33"/>
    <mergeCell ref="G32:G33"/>
    <mergeCell ref="I32:I33"/>
    <mergeCell ref="J32:J33"/>
    <mergeCell ref="H25:H26"/>
    <mergeCell ref="H32:H33"/>
    <mergeCell ref="A34:C34"/>
    <mergeCell ref="A36:C36"/>
    <mergeCell ref="A25:A26"/>
    <mergeCell ref="E25:E26"/>
    <mergeCell ref="G25:G26"/>
  </mergeCells>
  <printOptions horizontalCentered="1"/>
  <pageMargins left="0.2" right="0.2" top="1" bottom="0.2" header="0.2" footer="0.2"/>
  <pageSetup paperSize="9" scale="74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2026-08-07T00:53:33Z</cp:lastPrinted>
  <dcterms:created xsi:type="dcterms:W3CDTF">2026-08-07T00:42:46Z</dcterms:created>
  <dcterms:modified xsi:type="dcterms:W3CDTF">2026-08-07T00:53:37Z</dcterms:modified>
</cp:coreProperties>
</file>