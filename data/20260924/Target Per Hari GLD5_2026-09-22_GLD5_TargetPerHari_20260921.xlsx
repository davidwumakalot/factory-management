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I36" i="1"/>
  <c r="E36"/>
  <c r="D36"/>
  <c r="I34"/>
  <c r="E34"/>
  <c r="D34"/>
  <c r="L33"/>
  <c r="K33"/>
  <c r="F33"/>
  <c r="G33" s="1"/>
  <c r="H33" s="1"/>
  <c r="L32"/>
  <c r="K32"/>
  <c r="F32"/>
  <c r="G32" s="1"/>
  <c r="H32" s="1"/>
  <c r="L30"/>
  <c r="K31"/>
  <c r="F31"/>
  <c r="K30"/>
  <c r="F30"/>
  <c r="L29"/>
  <c r="G29"/>
  <c r="H29" s="1"/>
  <c r="K29"/>
  <c r="F29"/>
  <c r="L28"/>
  <c r="K28"/>
  <c r="F28"/>
  <c r="G28" s="1"/>
  <c r="H28" s="1"/>
  <c r="L26"/>
  <c r="K27"/>
  <c r="F27"/>
  <c r="K26"/>
  <c r="F26"/>
  <c r="G26" s="1"/>
  <c r="H26" s="1"/>
  <c r="L24"/>
  <c r="K25"/>
  <c r="F25"/>
  <c r="K24"/>
  <c r="F24"/>
  <c r="G24" s="1"/>
  <c r="H24" s="1"/>
  <c r="L23"/>
  <c r="K23"/>
  <c r="F23"/>
  <c r="G23" s="1"/>
  <c r="H23" s="1"/>
  <c r="L22"/>
  <c r="K22"/>
  <c r="F22"/>
  <c r="G22" s="1"/>
  <c r="H22" s="1"/>
  <c r="L20"/>
  <c r="K21"/>
  <c r="F21"/>
  <c r="K20"/>
  <c r="F20"/>
  <c r="G20" s="1"/>
  <c r="H20" s="1"/>
  <c r="L19"/>
  <c r="K19"/>
  <c r="F19"/>
  <c r="G19" s="1"/>
  <c r="H19" s="1"/>
  <c r="L18"/>
  <c r="G18"/>
  <c r="H18" s="1"/>
  <c r="K18"/>
  <c r="F18"/>
  <c r="L16"/>
  <c r="K17"/>
  <c r="F17"/>
  <c r="K16"/>
  <c r="F16"/>
  <c r="G16" s="1"/>
  <c r="H16" s="1"/>
  <c r="L14"/>
  <c r="K15"/>
  <c r="F15"/>
  <c r="K14"/>
  <c r="F14"/>
  <c r="G14" s="1"/>
  <c r="H14" s="1"/>
  <c r="L13"/>
  <c r="K13"/>
  <c r="F13"/>
  <c r="G13" s="1"/>
  <c r="H13" s="1"/>
  <c r="D39" s="1"/>
  <c r="L11"/>
  <c r="K12"/>
  <c r="F12"/>
  <c r="K11"/>
  <c r="F11"/>
  <c r="G11" s="1"/>
  <c r="H11" s="1"/>
  <c r="L10"/>
  <c r="K10"/>
  <c r="F10"/>
  <c r="G10" s="1"/>
  <c r="H10" s="1"/>
  <c r="L9"/>
  <c r="K9"/>
  <c r="F9"/>
  <c r="G9" s="1"/>
  <c r="H9" s="1"/>
  <c r="L8"/>
  <c r="K8"/>
  <c r="F8"/>
  <c r="G8" s="1"/>
  <c r="H8" s="1"/>
  <c r="L5"/>
  <c r="K7"/>
  <c r="F7"/>
  <c r="K6"/>
  <c r="F6"/>
  <c r="K5"/>
  <c r="F5"/>
  <c r="G5" s="1"/>
  <c r="H5" s="1"/>
  <c r="L34" l="1"/>
  <c r="D41"/>
  <c r="G30"/>
  <c r="H30" s="1"/>
  <c r="L36"/>
  <c r="G36" s="1"/>
  <c r="D38"/>
  <c r="D40"/>
  <c r="G34" l="1"/>
</calcChain>
</file>

<file path=xl/sharedStrings.xml><?xml version="1.0" encoding="utf-8"?>
<sst xmlns="http://schemas.openxmlformats.org/spreadsheetml/2006/main" count="68" uniqueCount="55">
  <si>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</si>
  <si>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</si>
  <si>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</si>
  <si>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</si>
  <si>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</si>
  <si>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</si>
  <si>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</si>
  <si>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</si>
  <si>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</si>
  <si>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</si>
  <si>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</si>
  <si>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</si>
  <si>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</si>
  <si>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</si>
  <si>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DAB14127_Q426</t>
  </si>
  <si>
    <t>DAB14127_Q127</t>
  </si>
  <si>
    <t>DAB15113PR_Q127</t>
  </si>
  <si>
    <t>5-02</t>
  </si>
  <si>
    <t>P6W6E9_C127</t>
  </si>
  <si>
    <t>5-03</t>
  </si>
  <si>
    <t>K880V_FA26</t>
  </si>
  <si>
    <t>5-04</t>
  </si>
  <si>
    <t>P68YG3_C127</t>
  </si>
  <si>
    <t>5-05</t>
  </si>
  <si>
    <t>G9MLYZ_C127</t>
  </si>
  <si>
    <t>5-06</t>
  </si>
  <si>
    <t>G95056_C127</t>
  </si>
  <si>
    <t>5-07</t>
  </si>
  <si>
    <t>K881_FA26</t>
  </si>
  <si>
    <t>315260003_SP27</t>
  </si>
  <si>
    <t>5-08</t>
  </si>
  <si>
    <t>5-09</t>
  </si>
  <si>
    <t>ST841_FA26</t>
  </si>
  <si>
    <t>5-10</t>
  </si>
  <si>
    <t>1KM1XY_C127</t>
  </si>
  <si>
    <t>5-11</t>
  </si>
  <si>
    <t>5-12</t>
  </si>
  <si>
    <t>5-13</t>
  </si>
  <si>
    <t>5-14</t>
  </si>
  <si>
    <t>K880_FA26</t>
  </si>
  <si>
    <t>5-15</t>
  </si>
  <si>
    <t>5-16</t>
  </si>
  <si>
    <t>MAX233402_Q127</t>
  </si>
  <si>
    <t>5-17</t>
  </si>
  <si>
    <t>5-18</t>
  </si>
  <si>
    <t>00AD0_H127</t>
  </si>
  <si>
    <t>5-19</t>
  </si>
  <si>
    <t>5-20</t>
  </si>
  <si>
    <t>WCG2032_Q127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</si>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</sst>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tabSelected="1" workbookViewId="0">
      <pane ySplit="4" topLeftCell="A5" activePane="bottomLeft" state="frozen"/>
      <selection pane="bottomLeft" activeCell="Q5" sqref="Q5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46286</v>
      </c>
    </row>
    <row r="2" spans="1:12" ht="13.5" thickBot="1"/>
    <row r="3" spans="1:12" ht="13.5" customHeight="1" thickTop="1">
      <c r="A3" s="39" t="s">
        <v>1</v>
      </c>
      <c r="B3" s="41" t="s">
        <v>2</v>
      </c>
      <c r="C3" s="41" t="s">
        <v>3</v>
      </c>
      <c r="D3" s="41" t="s">
        <v>4</v>
      </c>
      <c r="E3" s="41" t="s">
        <v>5</v>
      </c>
      <c r="F3" s="41" t="s">
        <v>6</v>
      </c>
      <c r="G3" s="41" t="s">
        <v>7</v>
      </c>
      <c r="H3" s="41" t="s">
        <v>8</v>
      </c>
      <c r="I3" s="41" t="s">
        <v>9</v>
      </c>
      <c r="J3" s="41" t="s">
        <v>10</v>
      </c>
      <c r="K3" s="41" t="s">
        <v>11</v>
      </c>
      <c r="L3" s="37" t="s">
        <v>12</v>
      </c>
    </row>
    <row r="4" spans="1:12">
      <c r="A4" s="40"/>
      <c r="B4" s="42"/>
      <c r="C4" s="42"/>
      <c r="D4" s="42"/>
      <c r="E4" s="42"/>
      <c r="F4" s="42"/>
      <c r="G4" s="42"/>
      <c r="H4" s="42"/>
      <c r="I4" s="42"/>
      <c r="J4" s="42"/>
      <c r="K4" s="42"/>
      <c r="L4" s="38"/>
    </row>
    <row r="5" spans="1:12">
      <c r="A5" s="33" t="s">
        <v>13</v>
      </c>
      <c r="B5" s="3" t="s">
        <v>14</v>
      </c>
      <c r="C5" s="4">
        <v>46192</v>
      </c>
      <c r="D5" s="5">
        <v>30</v>
      </c>
      <c r="E5" s="34">
        <v>9</v>
      </c>
      <c r="F5" s="6">
        <f>IF(E5=0,0,D5/E5)</f>
        <v>3.3333333333333335</v>
      </c>
      <c r="G5" s="35">
        <f>IF(E5=0,0,SUMPRODUCT(F5:F7,J5:J7)/(I5*2.52))</f>
        <v>1.3520186853520186</v>
      </c>
      <c r="H5" s="36">
        <f>G5*I5*E5</f>
        <v>450.22222222222223</v>
      </c>
      <c r="I5" s="36">
        <v>37</v>
      </c>
      <c r="J5" s="5">
        <v>0.8</v>
      </c>
      <c r="K5" s="6">
        <f>2.52/J5*I5</f>
        <v>116.55</v>
      </c>
      <c r="L5" s="7">
        <f>E5*I5</f>
        <v>333</v>
      </c>
    </row>
    <row r="6" spans="1:12">
      <c r="A6" s="33"/>
      <c r="B6" s="3" t="s">
        <v>15</v>
      </c>
      <c r="C6" s="4">
        <v>46272</v>
      </c>
      <c r="D6" s="5">
        <v>279</v>
      </c>
      <c r="E6" s="34"/>
      <c r="F6" s="6">
        <f>IF(E5=0,0,D6/E5)</f>
        <v>31</v>
      </c>
      <c r="G6" s="35"/>
      <c r="H6" s="36"/>
      <c r="I6" s="36"/>
      <c r="J6" s="5">
        <v>0.8</v>
      </c>
      <c r="K6" s="6">
        <f>2.52/J6*I5</f>
        <v>116.55</v>
      </c>
      <c r="L6" s="7"/>
    </row>
    <row r="7" spans="1:12">
      <c r="A7" s="33"/>
      <c r="B7" s="3" t="s">
        <v>16</v>
      </c>
      <c r="C7" s="4">
        <v>46279</v>
      </c>
      <c r="D7" s="5">
        <v>944</v>
      </c>
      <c r="E7" s="34"/>
      <c r="F7" s="6">
        <f>IF(E5=0,0,D7/E5)</f>
        <v>104.88888888888889</v>
      </c>
      <c r="G7" s="35"/>
      <c r="H7" s="36"/>
      <c r="I7" s="36"/>
      <c r="J7" s="5">
        <v>0.94</v>
      </c>
      <c r="K7" s="6">
        <f>2.52/J7*I5</f>
        <v>99.191489361702125</v>
      </c>
      <c r="L7" s="7"/>
    </row>
    <row r="8" spans="1:12">
      <c r="A8" s="8" t="s">
        <v>17</v>
      </c>
      <c r="B8" s="3" t="s">
        <v>18</v>
      </c>
      <c r="C8" s="4">
        <v>46276</v>
      </c>
      <c r="D8" s="5">
        <v>1142</v>
      </c>
      <c r="E8" s="9">
        <v>9</v>
      </c>
      <c r="F8" s="6">
        <f>IF(E8=0,0,D8/E8)</f>
        <v>126.88888888888889</v>
      </c>
      <c r="G8" s="10">
        <f>IF(E8=0,0,SUMPRODUCT(F8:F8,J8:J8)/(I8*2.52))</f>
        <v>2.0904013681791458</v>
      </c>
      <c r="H8" s="11">
        <f>G8*I8*E8</f>
        <v>620.84920634920627</v>
      </c>
      <c r="I8" s="11">
        <v>33</v>
      </c>
      <c r="J8" s="5">
        <v>1.37</v>
      </c>
      <c r="K8" s="6">
        <f>2.52/J8*I8</f>
        <v>60.700729927007302</v>
      </c>
      <c r="L8" s="7">
        <f>E8*I8</f>
        <v>297</v>
      </c>
    </row>
    <row r="9" spans="1:12">
      <c r="A9" s="8" t="s">
        <v>19</v>
      </c>
      <c r="B9" s="3" t="s">
        <v>20</v>
      </c>
      <c r="C9" s="4">
        <v>46281</v>
      </c>
      <c r="D9" s="5">
        <v>791</v>
      </c>
      <c r="E9" s="9">
        <v>9</v>
      </c>
      <c r="F9" s="6">
        <f>IF(E9=0,0,D9/E9)</f>
        <v>87.888888888888886</v>
      </c>
      <c r="G9" s="10">
        <f>IF(E9=0,0,SUMPRODUCT(F9:F9,J9:J9)/(I9*2.52))</f>
        <v>1.3739244294799851</v>
      </c>
      <c r="H9" s="11">
        <f>G9*I9*E9</f>
        <v>408.05555555555554</v>
      </c>
      <c r="I9" s="11">
        <v>33</v>
      </c>
      <c r="J9" s="5">
        <v>1.3</v>
      </c>
      <c r="K9" s="6">
        <f>2.52/J9*I9</f>
        <v>63.969230769230769</v>
      </c>
      <c r="L9" s="7">
        <f>E9*I9</f>
        <v>297</v>
      </c>
    </row>
    <row r="10" spans="1:12">
      <c r="A10" s="8" t="s">
        <v>21</v>
      </c>
      <c r="B10" s="3" t="s">
        <v>22</v>
      </c>
      <c r="C10" s="4">
        <v>46265</v>
      </c>
      <c r="D10" s="5">
        <v>1652</v>
      </c>
      <c r="E10" s="9">
        <v>9</v>
      </c>
      <c r="F10" s="6">
        <f>IF(E10=0,0,D10/E10)</f>
        <v>183.55555555555554</v>
      </c>
      <c r="G10" s="10">
        <f>IF(E10=0,0,SUMPRODUCT(F10:F10,J10:J10)/(I10*2.52))</f>
        <v>1.8105820105820105</v>
      </c>
      <c r="H10" s="11">
        <f>G10*I10*E10</f>
        <v>570.33333333333326</v>
      </c>
      <c r="I10" s="11">
        <v>35</v>
      </c>
      <c r="J10" s="5">
        <v>0.87</v>
      </c>
      <c r="K10" s="6">
        <f>2.52/J10*I10</f>
        <v>101.37931034482759</v>
      </c>
      <c r="L10" s="7">
        <f>E10*I10</f>
        <v>315</v>
      </c>
    </row>
    <row r="11" spans="1:12">
      <c r="A11" s="33" t="s">
        <v>23</v>
      </c>
      <c r="B11" s="3" t="s">
        <v>24</v>
      </c>
      <c r="C11" s="4">
        <v>46283</v>
      </c>
      <c r="D11" s="5">
        <v>457</v>
      </c>
      <c r="E11" s="34">
        <v>8</v>
      </c>
      <c r="F11" s="6">
        <f>IF(E11=0,0,D11/E11)</f>
        <v>57.125</v>
      </c>
      <c r="G11" s="35">
        <f>IF(E11=0,0,SUMPRODUCT(F11:F12,J11:J12)/(I11*2.52))</f>
        <v>1.0420634920634921</v>
      </c>
      <c r="H11" s="36">
        <f>G11*I11*E11</f>
        <v>291.77777777777777</v>
      </c>
      <c r="I11" s="36">
        <v>35</v>
      </c>
      <c r="J11" s="5">
        <v>1.56</v>
      </c>
      <c r="K11" s="6">
        <f>2.52/J11*I11</f>
        <v>56.53846153846154</v>
      </c>
      <c r="L11" s="7">
        <f>E11*I11</f>
        <v>280</v>
      </c>
    </row>
    <row r="12" spans="1:12">
      <c r="A12" s="33"/>
      <c r="B12" s="3" t="s">
        <v>24</v>
      </c>
      <c r="C12" s="4">
        <v>46283</v>
      </c>
      <c r="D12" s="5">
        <v>13</v>
      </c>
      <c r="E12" s="34"/>
      <c r="F12" s="6">
        <f>IF(E11=0,0,D12/E11)</f>
        <v>1.625</v>
      </c>
      <c r="G12" s="35"/>
      <c r="H12" s="36"/>
      <c r="I12" s="36"/>
      <c r="J12" s="5">
        <v>1.72</v>
      </c>
      <c r="K12" s="6">
        <f>2.52/J12*I11</f>
        <v>51.279069767441861</v>
      </c>
      <c r="L12" s="7"/>
    </row>
    <row r="13" spans="1:12">
      <c r="A13" s="8" t="s">
        <v>25</v>
      </c>
      <c r="B13" s="3" t="s">
        <v>26</v>
      </c>
      <c r="C13" s="4">
        <v>46279</v>
      </c>
      <c r="D13" s="5">
        <v>832</v>
      </c>
      <c r="E13" s="9">
        <v>9</v>
      </c>
      <c r="F13" s="6">
        <f>IF(E13=0,0,D13/E13)</f>
        <v>92.444444444444443</v>
      </c>
      <c r="G13" s="10">
        <f>IF(E13=0,0,SUMPRODUCT(F13:F13,J13:J13)/(I13*2.52))</f>
        <v>1.1672278338945006</v>
      </c>
      <c r="H13" s="11">
        <f>G13*I13*E13</f>
        <v>346.66666666666669</v>
      </c>
      <c r="I13" s="11">
        <v>33</v>
      </c>
      <c r="J13" s="5">
        <v>1.05</v>
      </c>
      <c r="K13" s="6">
        <f>2.52/J13*I13</f>
        <v>79.2</v>
      </c>
      <c r="L13" s="7">
        <f>E13*I13</f>
        <v>297</v>
      </c>
    </row>
    <row r="14" spans="1:12">
      <c r="A14" s="33" t="s">
        <v>27</v>
      </c>
      <c r="B14" s="3" t="s">
        <v>28</v>
      </c>
      <c r="C14" s="4">
        <v>46219</v>
      </c>
      <c r="D14" s="5">
        <v>275</v>
      </c>
      <c r="E14" s="34">
        <v>8</v>
      </c>
      <c r="F14" s="6">
        <f>IF(E14=0,0,D14/E14)</f>
        <v>34.375</v>
      </c>
      <c r="G14" s="35">
        <f>IF(E14=0,0,SUMPRODUCT(F14:F15,J14:J15)/(I14*2.52))</f>
        <v>0.88470017636684306</v>
      </c>
      <c r="H14" s="36">
        <f>G14*I14*E14</f>
        <v>254.79365079365081</v>
      </c>
      <c r="I14" s="36">
        <v>36</v>
      </c>
      <c r="J14" s="5">
        <v>1.84</v>
      </c>
      <c r="K14" s="6">
        <f>2.52/J14*I14</f>
        <v>49.304347826086953</v>
      </c>
      <c r="L14" s="7">
        <f>E14*I14</f>
        <v>288</v>
      </c>
    </row>
    <row r="15" spans="1:12">
      <c r="A15" s="33"/>
      <c r="B15" s="3" t="s">
        <v>29</v>
      </c>
      <c r="C15" s="4">
        <v>46272</v>
      </c>
      <c r="D15" s="5">
        <v>168</v>
      </c>
      <c r="E15" s="34"/>
      <c r="F15" s="6">
        <f>IF(E14=0,0,D15/E14)</f>
        <v>21</v>
      </c>
      <c r="G15" s="35"/>
      <c r="H15" s="36"/>
      <c r="I15" s="36"/>
      <c r="J15" s="5">
        <v>0.81</v>
      </c>
      <c r="K15" s="6">
        <f>2.52/J15*I14</f>
        <v>111.99999999999999</v>
      </c>
      <c r="L15" s="7"/>
    </row>
    <row r="16" spans="1:12">
      <c r="A16" s="33" t="s">
        <v>30</v>
      </c>
      <c r="B16" s="3" t="s">
        <v>24</v>
      </c>
      <c r="C16" s="4">
        <v>46280</v>
      </c>
      <c r="D16" s="5">
        <v>710</v>
      </c>
      <c r="E16" s="34">
        <v>9</v>
      </c>
      <c r="F16" s="6">
        <f>IF(E16=0,0,D16/E16)</f>
        <v>78.888888888888886</v>
      </c>
      <c r="G16" s="35">
        <f>IF(E16=0,0,SUMPRODUCT(F16:F17,J16:J17)/(I16*2.52))</f>
        <v>1.4798781465448132</v>
      </c>
      <c r="H16" s="36">
        <f>G16*I16*E16</f>
        <v>439.52380952380952</v>
      </c>
      <c r="I16" s="36">
        <v>33</v>
      </c>
      <c r="J16" s="5">
        <v>1.56</v>
      </c>
      <c r="K16" s="6">
        <f>2.52/J16*I16</f>
        <v>53.307692307692307</v>
      </c>
      <c r="L16" s="7">
        <f>E16*I16</f>
        <v>297</v>
      </c>
    </row>
    <row r="17" spans="1:12">
      <c r="A17" s="33"/>
      <c r="B17" s="3" t="s">
        <v>24</v>
      </c>
      <c r="C17" s="4">
        <v>46280</v>
      </c>
      <c r="D17" s="5">
        <v>0</v>
      </c>
      <c r="E17" s="34"/>
      <c r="F17" s="6">
        <f>IF(E16=0,0,D17/E16)</f>
        <v>0</v>
      </c>
      <c r="G17" s="35"/>
      <c r="H17" s="36"/>
      <c r="I17" s="36"/>
      <c r="J17" s="5">
        <v>1.72</v>
      </c>
      <c r="K17" s="6">
        <f>2.52/J17*I16</f>
        <v>48.348837209302324</v>
      </c>
      <c r="L17" s="7"/>
    </row>
    <row r="18" spans="1:12">
      <c r="A18" s="8" t="s">
        <v>31</v>
      </c>
      <c r="B18" s="3" t="s">
        <v>32</v>
      </c>
      <c r="C18" s="4">
        <v>46240</v>
      </c>
      <c r="D18" s="5">
        <v>678</v>
      </c>
      <c r="E18" s="9">
        <v>9</v>
      </c>
      <c r="F18" s="6">
        <f>IF(E18=0,0,D18/E18)</f>
        <v>75.333333333333329</v>
      </c>
      <c r="G18" s="10">
        <f>IF(E18=0,0,SUMPRODUCT(F18:F18,J18:J18)/(I18*2.52))</f>
        <v>1.4448853615520281</v>
      </c>
      <c r="H18" s="11">
        <f>G18*I18*E18</f>
        <v>468.14285714285711</v>
      </c>
      <c r="I18" s="11">
        <v>36</v>
      </c>
      <c r="J18" s="5">
        <v>1.74</v>
      </c>
      <c r="K18" s="6">
        <f>2.52/J18*I18</f>
        <v>52.137931034482762</v>
      </c>
      <c r="L18" s="7">
        <f>E18*I18</f>
        <v>324</v>
      </c>
    </row>
    <row r="19" spans="1:12">
      <c r="A19" s="8" t="s">
        <v>33</v>
      </c>
      <c r="B19" s="3" t="s">
        <v>34</v>
      </c>
      <c r="C19" s="4">
        <v>46267</v>
      </c>
      <c r="D19" s="5">
        <v>1600</v>
      </c>
      <c r="E19" s="9">
        <v>9</v>
      </c>
      <c r="F19" s="6">
        <f>IF(E19=0,0,D19/E19)</f>
        <v>177.77777777777777</v>
      </c>
      <c r="G19" s="10">
        <f>IF(E19=0,0,SUMPRODUCT(F19:F19,J19:J19)/(I19*2.52))</f>
        <v>1.5520282186948853</v>
      </c>
      <c r="H19" s="11">
        <f>G19*I19*E19</f>
        <v>488.88888888888891</v>
      </c>
      <c r="I19" s="11">
        <v>35</v>
      </c>
      <c r="J19" s="5">
        <v>0.77</v>
      </c>
      <c r="K19" s="6">
        <f>2.52/J19*I19</f>
        <v>114.54545454545453</v>
      </c>
      <c r="L19" s="7">
        <f>E19*I19</f>
        <v>315</v>
      </c>
    </row>
    <row r="20" spans="1:12">
      <c r="A20" s="33" t="s">
        <v>35</v>
      </c>
      <c r="B20" s="3" t="s">
        <v>24</v>
      </c>
      <c r="C20" s="4">
        <v>46274</v>
      </c>
      <c r="D20" s="5">
        <v>772</v>
      </c>
      <c r="E20" s="34">
        <v>9</v>
      </c>
      <c r="F20" s="6">
        <f>IF(E20=0,0,D20/E20)</f>
        <v>85.777777777777771</v>
      </c>
      <c r="G20" s="35">
        <f>IF(E20=0,0,SUMPRODUCT(F20:F21,J20:J21)/(I20*2.52))</f>
        <v>1.5973293020912069</v>
      </c>
      <c r="H20" s="36">
        <f>G20*I20*E20</f>
        <v>503.15873015873018</v>
      </c>
      <c r="I20" s="36">
        <v>35</v>
      </c>
      <c r="J20" s="5">
        <v>1.56</v>
      </c>
      <c r="K20" s="6">
        <f>2.52/J20*I20</f>
        <v>56.53846153846154</v>
      </c>
      <c r="L20" s="7">
        <f>E20*I20</f>
        <v>315</v>
      </c>
    </row>
    <row r="21" spans="1:12">
      <c r="A21" s="33"/>
      <c r="B21" s="3" t="s">
        <v>24</v>
      </c>
      <c r="C21" s="4">
        <v>46274</v>
      </c>
      <c r="D21" s="5">
        <v>37</v>
      </c>
      <c r="E21" s="34"/>
      <c r="F21" s="6">
        <f>IF(E20=0,0,D21/E20)</f>
        <v>4.1111111111111107</v>
      </c>
      <c r="G21" s="35"/>
      <c r="H21" s="36"/>
      <c r="I21" s="36"/>
      <c r="J21" s="5">
        <v>1.72</v>
      </c>
      <c r="K21" s="6">
        <f>2.52/J21*I20</f>
        <v>51.279069767441861</v>
      </c>
      <c r="L21" s="7"/>
    </row>
    <row r="22" spans="1:12">
      <c r="A22" s="8" t="s">
        <v>36</v>
      </c>
      <c r="B22" s="3" t="s">
        <v>18</v>
      </c>
      <c r="C22" s="4">
        <v>46281</v>
      </c>
      <c r="D22" s="5">
        <v>1101</v>
      </c>
      <c r="E22" s="9">
        <v>9</v>
      </c>
      <c r="F22" s="6">
        <f>IF(E22=0,0,D22/E22)</f>
        <v>122.33333333333333</v>
      </c>
      <c r="G22" s="10">
        <f>IF(E22=0,0,SUMPRODUCT(F22:F22,J22:J22)/(I22*2.52))</f>
        <v>1.8474059376837155</v>
      </c>
      <c r="H22" s="11">
        <f>G22*I22*E22</f>
        <v>598.55952380952385</v>
      </c>
      <c r="I22" s="11">
        <v>36</v>
      </c>
      <c r="J22" s="5">
        <v>1.37</v>
      </c>
      <c r="K22" s="6">
        <f>2.52/J22*I22</f>
        <v>66.21897810218978</v>
      </c>
      <c r="L22" s="7">
        <f>E22*I22</f>
        <v>324</v>
      </c>
    </row>
    <row r="23" spans="1:12">
      <c r="A23" s="8" t="s">
        <v>37</v>
      </c>
      <c r="B23" s="3" t="s">
        <v>22</v>
      </c>
      <c r="C23" s="4">
        <v>46255</v>
      </c>
      <c r="D23" s="5">
        <v>1696</v>
      </c>
      <c r="E23" s="9">
        <v>9</v>
      </c>
      <c r="F23" s="6">
        <f>IF(E23=0,0,D23/E23)</f>
        <v>188.44444444444446</v>
      </c>
      <c r="G23" s="10">
        <f>IF(E23=0,0,SUMPRODUCT(F23:F23,J23:J23)/(I23*2.52))</f>
        <v>1.8071722516166964</v>
      </c>
      <c r="H23" s="11">
        <f>G23*I23*E23</f>
        <v>585.52380952380963</v>
      </c>
      <c r="I23" s="11">
        <v>36</v>
      </c>
      <c r="J23" s="5">
        <v>0.87</v>
      </c>
      <c r="K23" s="6">
        <f>2.52/J23*I23</f>
        <v>104.27586206896552</v>
      </c>
      <c r="L23" s="7">
        <f>E23*I23</f>
        <v>324</v>
      </c>
    </row>
    <row r="24" spans="1:12">
      <c r="A24" s="33" t="s">
        <v>38</v>
      </c>
      <c r="B24" s="3" t="s">
        <v>39</v>
      </c>
      <c r="C24" s="4">
        <v>46192</v>
      </c>
      <c r="D24" s="5">
        <v>0</v>
      </c>
      <c r="E24" s="34">
        <v>9</v>
      </c>
      <c r="F24" s="6">
        <f>IF(E24=0,0,D24/E24)</f>
        <v>0</v>
      </c>
      <c r="G24" s="35">
        <f>IF(E24=0,0,SUMPRODUCT(F24:F25,J24:J25)/(I24*2.52))</f>
        <v>1.7706992706992708</v>
      </c>
      <c r="H24" s="36">
        <f>G24*I24*E24</f>
        <v>589.64285714285722</v>
      </c>
      <c r="I24" s="36">
        <v>37</v>
      </c>
      <c r="J24" s="5">
        <v>1.28</v>
      </c>
      <c r="K24" s="6">
        <f>2.52/J24*I24</f>
        <v>72.84375</v>
      </c>
      <c r="L24" s="7">
        <f>E24*I24</f>
        <v>333</v>
      </c>
    </row>
    <row r="25" spans="1:12">
      <c r="A25" s="33"/>
      <c r="B25" s="3" t="s">
        <v>20</v>
      </c>
      <c r="C25" s="4">
        <v>46209</v>
      </c>
      <c r="D25" s="5">
        <v>1143</v>
      </c>
      <c r="E25" s="34"/>
      <c r="F25" s="6">
        <f>IF(E24=0,0,D25/E24)</f>
        <v>127</v>
      </c>
      <c r="G25" s="35"/>
      <c r="H25" s="36"/>
      <c r="I25" s="36"/>
      <c r="J25" s="5">
        <v>1.3</v>
      </c>
      <c r="K25" s="6">
        <f>2.52/J25*I24</f>
        <v>71.723076923076917</v>
      </c>
      <c r="L25" s="7"/>
    </row>
    <row r="26" spans="1:12">
      <c r="A26" s="33" t="s">
        <v>40</v>
      </c>
      <c r="B26" s="3" t="s">
        <v>24</v>
      </c>
      <c r="C26" s="4">
        <v>46275</v>
      </c>
      <c r="D26" s="5">
        <v>256</v>
      </c>
      <c r="E26" s="34">
        <v>9</v>
      </c>
      <c r="F26" s="6">
        <f>IF(E26=0,0,D26/E26)</f>
        <v>28.444444444444443</v>
      </c>
      <c r="G26" s="35">
        <f>IF(E26=0,0,SUMPRODUCT(F26:F27,J26:J27)/(I26*2.52))</f>
        <v>1.6414364099549283</v>
      </c>
      <c r="H26" s="36">
        <f>G26*I26*E26</f>
        <v>531.82539682539675</v>
      </c>
      <c r="I26" s="36">
        <v>36</v>
      </c>
      <c r="J26" s="5">
        <v>1.56</v>
      </c>
      <c r="K26" s="6">
        <f>2.52/J26*I26</f>
        <v>58.153846153846153</v>
      </c>
      <c r="L26" s="7">
        <f>E26*I26</f>
        <v>324</v>
      </c>
    </row>
    <row r="27" spans="1:12">
      <c r="A27" s="33"/>
      <c r="B27" s="3" t="s">
        <v>24</v>
      </c>
      <c r="C27" s="4">
        <v>46275</v>
      </c>
      <c r="D27" s="5">
        <v>547</v>
      </c>
      <c r="E27" s="34"/>
      <c r="F27" s="6">
        <f>IF(E26=0,0,D27/E26)</f>
        <v>60.777777777777779</v>
      </c>
      <c r="G27" s="35"/>
      <c r="H27" s="36"/>
      <c r="I27" s="36"/>
      <c r="J27" s="5">
        <v>1.72</v>
      </c>
      <c r="K27" s="6">
        <f>2.52/J27*I26</f>
        <v>52.744186046511629</v>
      </c>
      <c r="L27" s="7"/>
    </row>
    <row r="28" spans="1:12">
      <c r="A28" s="8" t="s">
        <v>41</v>
      </c>
      <c r="B28" s="3" t="s">
        <v>42</v>
      </c>
      <c r="C28" s="4">
        <v>46253</v>
      </c>
      <c r="D28" s="5">
        <v>1800</v>
      </c>
      <c r="E28" s="9">
        <v>9</v>
      </c>
      <c r="F28" s="6">
        <f>IF(E28=0,0,D28/E28)</f>
        <v>200</v>
      </c>
      <c r="G28" s="10">
        <f>IF(E28=0,0,SUMPRODUCT(F28:F28,J28:J28)/(I28*2.52))</f>
        <v>1.7416225749559082</v>
      </c>
      <c r="H28" s="11">
        <f>G28*I28*E28</f>
        <v>564.28571428571422</v>
      </c>
      <c r="I28" s="11">
        <v>36</v>
      </c>
      <c r="J28" s="5">
        <v>0.79</v>
      </c>
      <c r="K28" s="6">
        <f>2.52/J28*I28</f>
        <v>114.83544303797467</v>
      </c>
      <c r="L28" s="7">
        <f>E28*I28</f>
        <v>324</v>
      </c>
    </row>
    <row r="29" spans="1:12">
      <c r="A29" s="8" t="s">
        <v>43</v>
      </c>
      <c r="B29" s="3" t="s">
        <v>18</v>
      </c>
      <c r="C29" s="4">
        <v>46280</v>
      </c>
      <c r="D29" s="5">
        <v>900</v>
      </c>
      <c r="E29" s="9">
        <v>9</v>
      </c>
      <c r="F29" s="6">
        <f>IF(E29=0,0,D29/E29)</f>
        <v>100</v>
      </c>
      <c r="G29" s="10">
        <f>IF(E29=0,0,SUMPRODUCT(F29:F29,J29:J29)/(I29*2.52))</f>
        <v>1.5989729225023341</v>
      </c>
      <c r="H29" s="11">
        <f>G29*I29*E29</f>
        <v>489.28571428571422</v>
      </c>
      <c r="I29" s="11">
        <v>34</v>
      </c>
      <c r="J29" s="5">
        <v>1.37</v>
      </c>
      <c r="K29" s="6">
        <f>2.52/J29*I29</f>
        <v>62.540145985401459</v>
      </c>
      <c r="L29" s="7">
        <f>E29*I29</f>
        <v>306</v>
      </c>
    </row>
    <row r="30" spans="1:12">
      <c r="A30" s="33" t="s">
        <v>44</v>
      </c>
      <c r="B30" s="3" t="s">
        <v>29</v>
      </c>
      <c r="C30" s="4">
        <v>46268</v>
      </c>
      <c r="D30" s="5">
        <v>522</v>
      </c>
      <c r="E30" s="34">
        <v>8</v>
      </c>
      <c r="F30" s="6">
        <f>IF(E30=0,0,D30/E30)</f>
        <v>65.25</v>
      </c>
      <c r="G30" s="35">
        <f>IF(E30=0,0,SUMPRODUCT(F30:F31,J30:J31)/(I30*2.52))</f>
        <v>0.72321428571428581</v>
      </c>
      <c r="H30" s="36">
        <f>G30*I30*E30</f>
        <v>167.78571428571431</v>
      </c>
      <c r="I30" s="36">
        <v>29</v>
      </c>
      <c r="J30" s="5">
        <v>0.81</v>
      </c>
      <c r="K30" s="6">
        <f>2.52/J30*I30</f>
        <v>90.222222222222214</v>
      </c>
      <c r="L30" s="7">
        <f>E30*I30</f>
        <v>232</v>
      </c>
    </row>
    <row r="31" spans="1:12">
      <c r="A31" s="33"/>
      <c r="B31" s="3" t="s">
        <v>45</v>
      </c>
      <c r="C31" s="4">
        <v>46286</v>
      </c>
      <c r="D31" s="5">
        <v>0</v>
      </c>
      <c r="E31" s="34"/>
      <c r="F31" s="6">
        <f>IF(E30=0,0,D31/E30)</f>
        <v>0</v>
      </c>
      <c r="G31" s="35"/>
      <c r="H31" s="36"/>
      <c r="I31" s="36"/>
      <c r="J31" s="5">
        <v>1.04</v>
      </c>
      <c r="K31" s="6">
        <f>2.52/J31*I30</f>
        <v>70.269230769230759</v>
      </c>
      <c r="L31" s="7"/>
    </row>
    <row r="32" spans="1:12">
      <c r="A32" s="8" t="s">
        <v>46</v>
      </c>
      <c r="B32" s="3" t="s">
        <v>15</v>
      </c>
      <c r="C32" s="4">
        <v>46274</v>
      </c>
      <c r="D32" s="5">
        <v>1501</v>
      </c>
      <c r="E32" s="9">
        <v>9</v>
      </c>
      <c r="F32" s="6">
        <f>IF(E32=0,0,D32/E32)</f>
        <v>166.77777777777777</v>
      </c>
      <c r="G32" s="10">
        <f>IF(E32=0,0,SUMPRODUCT(F32:F32,J32:J32)/(I32*2.52))</f>
        <v>1.3575724686835797</v>
      </c>
      <c r="H32" s="11">
        <f>G32*I32*E32</f>
        <v>476.50793650793645</v>
      </c>
      <c r="I32" s="11">
        <v>39</v>
      </c>
      <c r="J32" s="5">
        <v>0.8</v>
      </c>
      <c r="K32" s="6">
        <f>2.52/J32*I32</f>
        <v>122.85</v>
      </c>
      <c r="L32" s="7">
        <f>E32*I32</f>
        <v>351</v>
      </c>
    </row>
    <row r="33" spans="1:12">
      <c r="A33" s="8" t="s">
        <v>47</v>
      </c>
      <c r="B33" s="3" t="s">
        <v>48</v>
      </c>
      <c r="C33" s="4">
        <v>46272</v>
      </c>
      <c r="D33" s="5">
        <v>645</v>
      </c>
      <c r="E33" s="9">
        <v>9</v>
      </c>
      <c r="F33" s="6">
        <f>IF(E33=0,0,D33/E33)</f>
        <v>71.666666666666671</v>
      </c>
      <c r="G33" s="10">
        <f>IF(E33=0,0,SUMPRODUCT(F33:F33,J33:J33)/(I33*2.52))</f>
        <v>1.0380291005291007</v>
      </c>
      <c r="H33" s="11">
        <f>G33*I33*E33</f>
        <v>373.69047619047626</v>
      </c>
      <c r="I33" s="11">
        <v>40</v>
      </c>
      <c r="J33" s="5">
        <v>1.46</v>
      </c>
      <c r="K33" s="6">
        <f>2.52/J33*I33</f>
        <v>69.041095890410958</v>
      </c>
      <c r="L33" s="7">
        <f>E33*I33</f>
        <v>360</v>
      </c>
    </row>
    <row r="34" spans="1:12">
      <c r="A34" s="27" t="s">
        <v>49</v>
      </c>
      <c r="B34" s="28"/>
      <c r="C34" s="29"/>
      <c r="D34" s="12">
        <f>SUM(D5:D33)</f>
        <v>20491</v>
      </c>
      <c r="E34" s="13">
        <f>SUM(E5:E33)</f>
        <v>177</v>
      </c>
      <c r="F34" s="14"/>
      <c r="G34" s="15">
        <f>SUM(H5:H33)/L34</f>
        <v>1.4784348687090829</v>
      </c>
      <c r="H34" s="12"/>
      <c r="I34" s="12">
        <f>SUM(I5:I33)</f>
        <v>704</v>
      </c>
      <c r="J34" s="12"/>
      <c r="K34" s="14"/>
      <c r="L34" s="16">
        <f>SUM(L5:L33)</f>
        <v>6236</v>
      </c>
    </row>
    <row r="35" spans="1:12">
      <c r="A35" s="17"/>
      <c r="B35" s="5"/>
      <c r="C35" s="4"/>
      <c r="D35" s="5"/>
      <c r="E35" s="18"/>
      <c r="F35" s="6"/>
      <c r="G35" s="19"/>
      <c r="H35" s="5"/>
      <c r="I35" s="5"/>
      <c r="J35" s="5"/>
      <c r="K35" s="6"/>
      <c r="L35" s="7"/>
    </row>
    <row r="36" spans="1:12" ht="13.5" thickBot="1">
      <c r="A36" s="30" t="s">
        <v>50</v>
      </c>
      <c r="B36" s="31"/>
      <c r="C36" s="32"/>
      <c r="D36" s="20">
        <f>SUMIF(A5:A35, "&lt;&gt;Summary", D5:D35)</f>
        <v>20491</v>
      </c>
      <c r="E36" s="21">
        <f>SUMIF(A5:A35, "&lt;&gt;Summary", E5:E35)</f>
        <v>177</v>
      </c>
      <c r="F36" s="22"/>
      <c r="G36" s="23">
        <f>SUMIF(A5:A35, "&lt;&gt;Summary", H5:H35)/L36</f>
        <v>1.4784348687090829</v>
      </c>
      <c r="H36" s="20"/>
      <c r="I36" s="20">
        <f>SUMIF(A5:A35, "&lt;&gt;Summary", I5:I35)</f>
        <v>704</v>
      </c>
      <c r="J36" s="20"/>
      <c r="K36" s="22"/>
      <c r="L36" s="24">
        <f>SUMIF(A5:A35, "&lt;&gt;Summary", L5:L35)</f>
        <v>6236</v>
      </c>
    </row>
    <row r="37" spans="1:12" ht="13.5" thickTop="1"/>
    <row r="38" spans="1:12">
      <c r="C38" s="25" t="s">
        <v>51</v>
      </c>
      <c r="D38" s="26">
        <f>SUM(H5:H12)/SUM(L5:L12)</f>
        <v>1.5382641887241097</v>
      </c>
    </row>
    <row r="39" spans="1:12">
      <c r="C39" s="25" t="s">
        <v>52</v>
      </c>
      <c r="D39" s="26">
        <f>SUM(H13:H19)/SUM(L13:L19)</f>
        <v>1.3136199033634932</v>
      </c>
    </row>
    <row r="40" spans="1:12">
      <c r="C40" s="25" t="s">
        <v>53</v>
      </c>
      <c r="D40" s="26">
        <f>SUM(H20:H27)/SUM(L20:L27)</f>
        <v>1.7337718009014307</v>
      </c>
    </row>
    <row r="41" spans="1:12">
      <c r="C41" s="25" t="s">
        <v>54</v>
      </c>
      <c r="D41" s="26">
        <f>SUM(H28:H33)/SUM(L28:L33)</f>
        <v>1.3169456805820441</v>
      </c>
    </row>
  </sheetData>
  <mergeCells count="54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11:A12"/>
    <mergeCell ref="E11:E12"/>
    <mergeCell ref="G11:G12"/>
    <mergeCell ref="H11:H12"/>
    <mergeCell ref="I11:I12"/>
    <mergeCell ref="A5:A7"/>
    <mergeCell ref="E5:E7"/>
    <mergeCell ref="G5:G7"/>
    <mergeCell ref="H5:H7"/>
    <mergeCell ref="I5:I7"/>
    <mergeCell ref="A16:A17"/>
    <mergeCell ref="E16:E17"/>
    <mergeCell ref="G16:G17"/>
    <mergeCell ref="H16:H17"/>
    <mergeCell ref="I16:I17"/>
    <mergeCell ref="A14:A15"/>
    <mergeCell ref="E14:E15"/>
    <mergeCell ref="G14:G15"/>
    <mergeCell ref="H14:H15"/>
    <mergeCell ref="I14:I15"/>
    <mergeCell ref="A24:A25"/>
    <mergeCell ref="E24:E25"/>
    <mergeCell ref="G24:G25"/>
    <mergeCell ref="H24:H25"/>
    <mergeCell ref="I24:I25"/>
    <mergeCell ref="A20:A21"/>
    <mergeCell ref="E20:E21"/>
    <mergeCell ref="G20:G21"/>
    <mergeCell ref="H20:H21"/>
    <mergeCell ref="I20:I21"/>
    <mergeCell ref="H26:H27"/>
    <mergeCell ref="I26:I27"/>
    <mergeCell ref="A30:A31"/>
    <mergeCell ref="E30:E31"/>
    <mergeCell ref="G30:G31"/>
    <mergeCell ref="H30:H31"/>
    <mergeCell ref="I30:I31"/>
    <mergeCell ref="A34:C34"/>
    <mergeCell ref="A36:C36"/>
    <mergeCell ref="A26:A27"/>
    <mergeCell ref="E26:E27"/>
    <mergeCell ref="G26:G27"/>
  </mergeCells>
  <printOptions horizontalCentered="1"/>
  <pageMargins left="0.2" right="0.2" top="1" bottom="0.2" header="0.2" footer="0.2"/>
  <pageSetup paperSize="9" scale="90" orientation="landscape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2026-09-22T02:08:34Z</cp:lastPrinted>
  <dcterms:created xsi:type="dcterms:W3CDTF">2026-09-22T00:33:49Z</dcterms:created>
  <dcterms:modified xsi:type="dcterms:W3CDTF">2026-09-22T02:13:20Z</dcterms:modified>
</cp:coreProperties>
</file>