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F30" i="1"/>
  <c r="F21"/>
  <c r="E37"/>
  <c r="F6"/>
  <c r="F7"/>
  <c r="F37" s="1"/>
  <c r="F8"/>
  <c r="F9"/>
  <c r="F10"/>
  <c r="F11"/>
  <c r="F12"/>
  <c r="F13"/>
  <c r="F14"/>
  <c r="F15"/>
  <c r="F16"/>
  <c r="F17"/>
  <c r="F18"/>
  <c r="F19"/>
  <c r="F20"/>
  <c r="F23"/>
  <c r="F24"/>
  <c r="F25"/>
  <c r="F26"/>
  <c r="F27"/>
  <c r="F28"/>
  <c r="F29"/>
  <c r="F32"/>
  <c r="F33"/>
  <c r="F34"/>
  <c r="F35"/>
  <c r="F36"/>
  <c r="F5"/>
  <c r="D44"/>
  <c r="D43"/>
  <c r="D42"/>
  <c r="D41"/>
  <c r="O39" l="1"/>
  <c r="L39"/>
  <c r="I39"/>
  <c r="G39"/>
  <c r="D39"/>
  <c r="O37"/>
  <c r="I37" s="1"/>
  <c r="L37"/>
  <c r="G37"/>
  <c r="D37"/>
  <c r="O36"/>
  <c r="K36"/>
  <c r="I36"/>
  <c r="N36"/>
  <c r="H36"/>
  <c r="O35"/>
  <c r="K35"/>
  <c r="I35"/>
  <c r="N35"/>
  <c r="H35"/>
  <c r="O34"/>
  <c r="K34"/>
  <c r="I34"/>
  <c r="N34"/>
  <c r="H34"/>
  <c r="O33"/>
  <c r="K33"/>
  <c r="I33"/>
  <c r="N33"/>
  <c r="H33"/>
  <c r="O32"/>
  <c r="K32"/>
  <c r="I32"/>
  <c r="N32"/>
  <c r="H32"/>
  <c r="O29"/>
  <c r="K29"/>
  <c r="I29"/>
  <c r="N31"/>
  <c r="H31"/>
  <c r="N30"/>
  <c r="H30"/>
  <c r="N29"/>
  <c r="H29"/>
  <c r="O28"/>
  <c r="K28"/>
  <c r="I28"/>
  <c r="N28"/>
  <c r="H28"/>
  <c r="O27"/>
  <c r="K27"/>
  <c r="I27"/>
  <c r="N27"/>
  <c r="H27"/>
  <c r="O23"/>
  <c r="K23"/>
  <c r="I23"/>
  <c r="N26"/>
  <c r="H26"/>
  <c r="N25"/>
  <c r="H25"/>
  <c r="N24"/>
  <c r="H24"/>
  <c r="N23"/>
  <c r="H23"/>
  <c r="O21"/>
  <c r="K21"/>
  <c r="I21"/>
  <c r="N22"/>
  <c r="H22"/>
  <c r="N21"/>
  <c r="H21"/>
  <c r="O20"/>
  <c r="K20"/>
  <c r="I20"/>
  <c r="N20"/>
  <c r="H20"/>
  <c r="O19"/>
  <c r="K19"/>
  <c r="I19"/>
  <c r="N19"/>
  <c r="H19"/>
  <c r="O17"/>
  <c r="K17"/>
  <c r="I17"/>
  <c r="N18"/>
  <c r="H18"/>
  <c r="N17"/>
  <c r="H17"/>
  <c r="O15"/>
  <c r="K15"/>
  <c r="I15"/>
  <c r="N16"/>
  <c r="H16"/>
  <c r="N15"/>
  <c r="H15"/>
  <c r="O14"/>
  <c r="K14"/>
  <c r="I14"/>
  <c r="N14"/>
  <c r="H14"/>
  <c r="O12"/>
  <c r="K12"/>
  <c r="I12"/>
  <c r="N13"/>
  <c r="H13"/>
  <c r="N12"/>
  <c r="H12"/>
  <c r="O11"/>
  <c r="K11"/>
  <c r="I11"/>
  <c r="N11"/>
  <c r="H11"/>
  <c r="O9"/>
  <c r="K9"/>
  <c r="I9"/>
  <c r="N10"/>
  <c r="H10"/>
  <c r="N9"/>
  <c r="H9"/>
  <c r="O8"/>
  <c r="K8"/>
  <c r="I8"/>
  <c r="N8"/>
  <c r="H8"/>
  <c r="O5"/>
  <c r="K5"/>
  <c r="I5"/>
  <c r="N7"/>
  <c r="H7"/>
  <c r="N6"/>
  <c r="H6"/>
  <c r="N5"/>
  <c r="H5"/>
</calcChain>
</file>

<file path=xl/sharedStrings.xml><?xml version="1.0" encoding="utf-8"?>
<sst xmlns="http://schemas.openxmlformats.org/spreadsheetml/2006/main" count="74" uniqueCount="61">
  <si>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</si>
  <si>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</si>
  <si>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</si>
  <si>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</si>
  <si>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</si>
  <si>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</si>
  <si>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</si>
  <si>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</si>
  <si>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</si>
  <si>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</si>
  <si>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</si>
  <si>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</si>
  <si>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</si>
  <si>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</si>
  <si>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DAB14127_Q426</t>
  </si>
  <si>
    <t>DAB14127_Q127</t>
  </si>
  <si>
    <t>DAB15113PR_Q127</t>
  </si>
  <si>
    <t>5-02</t>
  </si>
  <si>
    <t>P6W6E9_C127</t>
  </si>
  <si>
    <t>5-03</t>
  </si>
  <si>
    <t>LK880_FA26</t>
  </si>
  <si>
    <t>K880V_FA26</t>
  </si>
  <si>
    <t>5-04</t>
  </si>
  <si>
    <t>P68YG3_C127</t>
  </si>
  <si>
    <t>5-05</t>
  </si>
  <si>
    <t>K86W2L_C426IND</t>
  </si>
  <si>
    <t>G9MLYZ_C127</t>
  </si>
  <si>
    <t>5-06</t>
  </si>
  <si>
    <t>G95056_C127</t>
  </si>
  <si>
    <t>5-07</t>
  </si>
  <si>
    <t>K881_FA26</t>
  </si>
  <si>
    <t>315260003_SP27</t>
  </si>
  <si>
    <t>5-08</t>
  </si>
  <si>
    <t>5-09</t>
  </si>
  <si>
    <t>ST841_FA26</t>
  </si>
  <si>
    <t>5-10</t>
  </si>
  <si>
    <t>1KM1XY_C127</t>
  </si>
  <si>
    <t>5-11</t>
  </si>
  <si>
    <t>5-12</t>
  </si>
  <si>
    <t>K864_FA26</t>
  </si>
  <si>
    <t>K864_SP26</t>
  </si>
  <si>
    <t>LK864_FA26</t>
  </si>
  <si>
    <t>5-13</t>
  </si>
  <si>
    <t>5-14</t>
  </si>
  <si>
    <t>5-15</t>
  </si>
  <si>
    <t>5-16</t>
  </si>
  <si>
    <t>MAX233402_Q127</t>
  </si>
  <si>
    <t>5-17</t>
  </si>
  <si>
    <t>5-18</t>
  </si>
  <si>
    <t>5-19</t>
  </si>
  <si>
    <t>5-20</t>
  </si>
  <si>
    <t>WCG2032_Q127</t>
  </si>
  <si>
    <t>Summary</t>
  </si>
  <si>
    <t>Grand Total</t>
  </si>
  <si>
    <t>LINE 1-5</t>
  </si>
  <si>
    <t>LINE 6-10</t>
  </si>
  <si>
    <t>LINE 11-15</t>
  </si>
  <si>
    <t>LINE 16-20</t>
  </si>
  <si>
    <t>EQC</t>
  </si>
  <si>
    <t>SELISIH</t>
  </si>
  <si>
    <t>PERMINTAAN SCHEDULE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</si>
</sst>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/>
    <xf numFmtId="167" fontId="2" fillId="0" borderId="0" xfId="0" applyNumberFormat="1" applyFont="1"/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165" fontId="1" fillId="0" borderId="5" xfId="0" applyNumberFormat="1" applyFont="1" applyBorder="1" applyAlignment="1">
      <alignment horizontal="right" vertical="center"/>
    </xf>
    <xf numFmtId="165" fontId="1" fillId="0" borderId="5" xfId="0" applyNumberFormat="1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167" fontId="1" fillId="0" borderId="12" xfId="0" applyNumberFormat="1" applyFont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/>
    </xf>
    <xf numFmtId="167" fontId="1" fillId="0" borderId="1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4"/>
  <sheetViews>
    <sheetView tabSelected="1" zoomScaleNormal="100" workbookViewId="0">
      <pane ySplit="4" topLeftCell="A5" activePane="bottomLeft" state="frozen"/>
      <selection pane="bottomLeft" activeCell="G9" sqref="G9:G10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4" width="8.7109375" style="1" customWidth="1"/>
    <col min="5" max="6" width="8.7109375" style="1" hidden="1" customWidth="1"/>
    <col min="7" max="9" width="8.7109375" style="1" customWidth="1"/>
    <col min="10" max="10" width="11.85546875" style="1" customWidth="1"/>
    <col min="11" max="11" width="8.7109375" style="1" customWidth="1"/>
    <col min="12" max="16384" width="9.140625" style="1"/>
  </cols>
  <sheetData>
    <row r="1" spans="1:15">
      <c r="A1" s="1" t="s">
        <v>0</v>
      </c>
      <c r="B1" s="2">
        <v>46283</v>
      </c>
    </row>
    <row r="2" spans="1:15" ht="13.5" thickBot="1"/>
    <row r="3" spans="1:15" ht="13.5" thickTop="1">
      <c r="A3" s="37" t="s">
        <v>1</v>
      </c>
      <c r="B3" s="33" t="s">
        <v>2</v>
      </c>
      <c r="C3" s="33" t="s">
        <v>3</v>
      </c>
      <c r="D3" s="33" t="s">
        <v>4</v>
      </c>
      <c r="E3" s="41" t="s">
        <v>58</v>
      </c>
      <c r="F3" s="41" t="s">
        <v>59</v>
      </c>
      <c r="G3" s="33" t="s">
        <v>5</v>
      </c>
      <c r="H3" s="33" t="s">
        <v>6</v>
      </c>
      <c r="I3" s="33" t="s">
        <v>7</v>
      </c>
      <c r="J3" s="41" t="s">
        <v>60</v>
      </c>
      <c r="K3" s="33" t="s">
        <v>8</v>
      </c>
      <c r="L3" s="33" t="s">
        <v>9</v>
      </c>
      <c r="M3" s="33" t="s">
        <v>10</v>
      </c>
      <c r="N3" s="33" t="s">
        <v>11</v>
      </c>
      <c r="O3" s="35" t="s">
        <v>12</v>
      </c>
    </row>
    <row r="4" spans="1:15">
      <c r="A4" s="38"/>
      <c r="B4" s="34"/>
      <c r="C4" s="34"/>
      <c r="D4" s="34"/>
      <c r="E4" s="42"/>
      <c r="F4" s="42"/>
      <c r="G4" s="34"/>
      <c r="H4" s="34"/>
      <c r="I4" s="34"/>
      <c r="J4" s="42"/>
      <c r="K4" s="34"/>
      <c r="L4" s="34"/>
      <c r="M4" s="34"/>
      <c r="N4" s="34"/>
      <c r="O4" s="36"/>
    </row>
    <row r="5" spans="1:15">
      <c r="A5" s="30" t="s">
        <v>13</v>
      </c>
      <c r="B5" s="3" t="s">
        <v>14</v>
      </c>
      <c r="C5" s="4">
        <v>46192</v>
      </c>
      <c r="D5" s="5">
        <v>24</v>
      </c>
      <c r="E5" s="45">
        <v>24</v>
      </c>
      <c r="F5" s="45">
        <f>D5-E5</f>
        <v>0</v>
      </c>
      <c r="G5" s="43">
        <v>8</v>
      </c>
      <c r="H5" s="6">
        <f>IF(G5=0,0,D5/G5)</f>
        <v>3</v>
      </c>
      <c r="I5" s="31">
        <f>IF(G5=0,0,SUMPRODUCT(H5:H7,M5:M7)/(L5*2.52))</f>
        <v>1.2507239382239381</v>
      </c>
      <c r="J5" s="48">
        <v>1.4</v>
      </c>
      <c r="K5" s="32">
        <f>I5*L5*G5</f>
        <v>370.21428571428567</v>
      </c>
      <c r="L5" s="32">
        <v>37</v>
      </c>
      <c r="M5" s="5">
        <v>0.8</v>
      </c>
      <c r="N5" s="6">
        <f>2.52/M5*L5</f>
        <v>116.55</v>
      </c>
      <c r="O5" s="7">
        <f>G5*L5</f>
        <v>296</v>
      </c>
    </row>
    <row r="6" spans="1:15">
      <c r="A6" s="30"/>
      <c r="B6" s="3" t="s">
        <v>15</v>
      </c>
      <c r="C6" s="4">
        <v>46272</v>
      </c>
      <c r="D6" s="5">
        <v>13</v>
      </c>
      <c r="E6" s="45">
        <v>13</v>
      </c>
      <c r="F6" s="45">
        <f t="shared" ref="F6:F36" si="0">D6-E6</f>
        <v>0</v>
      </c>
      <c r="G6" s="43"/>
      <c r="H6" s="6">
        <f>IF(G5=0,0,D6/G5)</f>
        <v>1.625</v>
      </c>
      <c r="I6" s="31"/>
      <c r="J6" s="50"/>
      <c r="K6" s="32"/>
      <c r="L6" s="32"/>
      <c r="M6" s="5">
        <v>0.8</v>
      </c>
      <c r="N6" s="6">
        <f>2.52/M6*L5</f>
        <v>116.55</v>
      </c>
      <c r="O6" s="7"/>
    </row>
    <row r="7" spans="1:15">
      <c r="A7" s="30"/>
      <c r="B7" s="3" t="s">
        <v>16</v>
      </c>
      <c r="C7" s="4">
        <v>46279</v>
      </c>
      <c r="D7" s="5">
        <v>961</v>
      </c>
      <c r="E7" s="45">
        <v>963</v>
      </c>
      <c r="F7" s="45">
        <f t="shared" si="0"/>
        <v>-2</v>
      </c>
      <c r="G7" s="43"/>
      <c r="H7" s="6">
        <f>IF(G5=0,0,D7/G5)</f>
        <v>120.125</v>
      </c>
      <c r="I7" s="31"/>
      <c r="J7" s="49"/>
      <c r="K7" s="32"/>
      <c r="L7" s="32"/>
      <c r="M7" s="5">
        <v>0.94</v>
      </c>
      <c r="N7" s="6">
        <f>2.52/M7*L5</f>
        <v>99.191489361702125</v>
      </c>
      <c r="O7" s="7"/>
    </row>
    <row r="8" spans="1:15">
      <c r="A8" s="8" t="s">
        <v>17</v>
      </c>
      <c r="B8" s="3" t="s">
        <v>18</v>
      </c>
      <c r="C8" s="4">
        <v>46276</v>
      </c>
      <c r="D8" s="5">
        <v>1011</v>
      </c>
      <c r="E8" s="45">
        <v>1010</v>
      </c>
      <c r="F8" s="45">
        <f t="shared" si="0"/>
        <v>1</v>
      </c>
      <c r="G8" s="44">
        <v>9</v>
      </c>
      <c r="H8" s="6">
        <f>IF(G8=0,0,D8/G8)</f>
        <v>112.33333333333333</v>
      </c>
      <c r="I8" s="9">
        <f>IF(G8=0,0,SUMPRODUCT(H8:H8,M8:M8)/(L8*2.52))</f>
        <v>1.908440806878307</v>
      </c>
      <c r="J8" s="9">
        <v>1.7</v>
      </c>
      <c r="K8" s="10">
        <f>I8*L8*G8</f>
        <v>549.63095238095241</v>
      </c>
      <c r="L8" s="10">
        <v>32</v>
      </c>
      <c r="M8" s="5">
        <v>1.37</v>
      </c>
      <c r="N8" s="6">
        <f>2.52/M8*L8</f>
        <v>58.861313868613138</v>
      </c>
      <c r="O8" s="7">
        <f>G8*L8</f>
        <v>288</v>
      </c>
    </row>
    <row r="9" spans="1:15">
      <c r="A9" s="30" t="s">
        <v>19</v>
      </c>
      <c r="B9" s="3" t="s">
        <v>20</v>
      </c>
      <c r="C9" s="4">
        <v>46245</v>
      </c>
      <c r="D9" s="5">
        <v>1</v>
      </c>
      <c r="E9" s="45">
        <v>1</v>
      </c>
      <c r="F9" s="45">
        <f t="shared" si="0"/>
        <v>0</v>
      </c>
      <c r="G9" s="43">
        <v>9</v>
      </c>
      <c r="H9" s="6">
        <f>IF(G9=0,0,D9/G9)</f>
        <v>0.1111111111111111</v>
      </c>
      <c r="I9" s="31">
        <f>IF(G9=0,0,SUMPRODUCT(H9:H10,M9:M10)/(L9*2.52))</f>
        <v>1.324007268451713</v>
      </c>
      <c r="J9" s="48">
        <v>1.2</v>
      </c>
      <c r="K9" s="32">
        <f>I9*L9*G9</f>
        <v>393.23015873015879</v>
      </c>
      <c r="L9" s="32">
        <v>33</v>
      </c>
      <c r="M9" s="5">
        <v>1.64</v>
      </c>
      <c r="N9" s="6">
        <f>2.52/M9*L9</f>
        <v>50.707317073170735</v>
      </c>
      <c r="O9" s="7">
        <f>G9*L9</f>
        <v>297</v>
      </c>
    </row>
    <row r="10" spans="1:15">
      <c r="A10" s="30"/>
      <c r="B10" s="3" t="s">
        <v>21</v>
      </c>
      <c r="C10" s="4">
        <v>46281</v>
      </c>
      <c r="D10" s="5">
        <v>761</v>
      </c>
      <c r="E10" s="45">
        <v>706</v>
      </c>
      <c r="F10" s="45">
        <f t="shared" si="0"/>
        <v>55</v>
      </c>
      <c r="G10" s="43"/>
      <c r="H10" s="6">
        <f>IF(G9=0,0,D10/G9)</f>
        <v>84.555555555555557</v>
      </c>
      <c r="I10" s="31"/>
      <c r="J10" s="49"/>
      <c r="K10" s="32"/>
      <c r="L10" s="32"/>
      <c r="M10" s="5">
        <v>1.3</v>
      </c>
      <c r="N10" s="6">
        <f>2.52/M10*L9</f>
        <v>63.969230769230769</v>
      </c>
      <c r="O10" s="7"/>
    </row>
    <row r="11" spans="1:15">
      <c r="A11" s="8" t="s">
        <v>22</v>
      </c>
      <c r="B11" s="3" t="s">
        <v>23</v>
      </c>
      <c r="C11" s="4">
        <v>46265</v>
      </c>
      <c r="D11" s="5">
        <v>1524</v>
      </c>
      <c r="E11" s="45">
        <v>1512</v>
      </c>
      <c r="F11" s="45">
        <f t="shared" si="0"/>
        <v>12</v>
      </c>
      <c r="G11" s="44">
        <v>9</v>
      </c>
      <c r="H11" s="6">
        <f>IF(G11=0,0,D11/G11)</f>
        <v>169.33333333333334</v>
      </c>
      <c r="I11" s="9">
        <f>IF(G11=0,0,SUMPRODUCT(H11:H11,M11:M11)/(L11*2.52))</f>
        <v>1.7194211017740431</v>
      </c>
      <c r="J11" s="9">
        <v>1.6</v>
      </c>
      <c r="K11" s="10">
        <f>I11*L11*G11</f>
        <v>526.14285714285711</v>
      </c>
      <c r="L11" s="10">
        <v>34</v>
      </c>
      <c r="M11" s="5">
        <v>0.87</v>
      </c>
      <c r="N11" s="6">
        <f>2.52/M11*L11</f>
        <v>98.482758620689651</v>
      </c>
      <c r="O11" s="7">
        <f>G11*L11</f>
        <v>306</v>
      </c>
    </row>
    <row r="12" spans="1:15">
      <c r="A12" s="30" t="s">
        <v>24</v>
      </c>
      <c r="B12" s="3" t="s">
        <v>25</v>
      </c>
      <c r="C12" s="4">
        <v>46261</v>
      </c>
      <c r="D12" s="5">
        <v>133</v>
      </c>
      <c r="E12" s="45">
        <v>133</v>
      </c>
      <c r="F12" s="45">
        <f t="shared" si="0"/>
        <v>0</v>
      </c>
      <c r="G12" s="43">
        <v>8</v>
      </c>
      <c r="H12" s="6">
        <f>IF(G12=0,0,D12/G12)</f>
        <v>16.625</v>
      </c>
      <c r="I12" s="31">
        <f>IF(G12=0,0,SUMPRODUCT(H12:H13,M12:M13)/(L12*2.52))</f>
        <v>0.31419477513227512</v>
      </c>
      <c r="J12" s="48">
        <v>1</v>
      </c>
      <c r="K12" s="32">
        <f>I12*L12*G12</f>
        <v>90.488095238095241</v>
      </c>
      <c r="L12" s="32">
        <v>36</v>
      </c>
      <c r="M12" s="5">
        <v>0.87</v>
      </c>
      <c r="N12" s="6">
        <f>2.52/M12*L12</f>
        <v>104.27586206896552</v>
      </c>
      <c r="O12" s="7">
        <f>G12*L12</f>
        <v>288</v>
      </c>
    </row>
    <row r="13" spans="1:15">
      <c r="A13" s="30"/>
      <c r="B13" s="3" t="s">
        <v>26</v>
      </c>
      <c r="C13" s="4">
        <v>46283</v>
      </c>
      <c r="D13" s="5">
        <v>72</v>
      </c>
      <c r="E13" s="45">
        <v>100</v>
      </c>
      <c r="F13" s="45">
        <f t="shared" si="0"/>
        <v>-28</v>
      </c>
      <c r="G13" s="43"/>
      <c r="H13" s="6">
        <f>IF(G12=0,0,D13/G12)</f>
        <v>9</v>
      </c>
      <c r="I13" s="31"/>
      <c r="J13" s="49"/>
      <c r="K13" s="32"/>
      <c r="L13" s="32"/>
      <c r="M13" s="5">
        <v>1.56</v>
      </c>
      <c r="N13" s="6">
        <f>2.52/M13*L12</f>
        <v>58.153846153846153</v>
      </c>
      <c r="O13" s="7"/>
    </row>
    <row r="14" spans="1:15">
      <c r="A14" s="8" t="s">
        <v>27</v>
      </c>
      <c r="B14" s="3" t="s">
        <v>28</v>
      </c>
      <c r="C14" s="4">
        <v>46279</v>
      </c>
      <c r="D14" s="5">
        <v>733</v>
      </c>
      <c r="E14" s="45">
        <v>738</v>
      </c>
      <c r="F14" s="45">
        <f t="shared" si="0"/>
        <v>-5</v>
      </c>
      <c r="G14" s="44">
        <v>9</v>
      </c>
      <c r="H14" s="6">
        <f>IF(G14=0,0,D14/G14)</f>
        <v>81.444444444444443</v>
      </c>
      <c r="I14" s="9">
        <f>IF(G14=0,0,SUMPRODUCT(H14:H14,M14:M14)/(L14*2.52))</f>
        <v>0.94264403292181065</v>
      </c>
      <c r="J14" s="9">
        <v>1</v>
      </c>
      <c r="K14" s="10">
        <f>I14*L14*G14</f>
        <v>305.41666666666663</v>
      </c>
      <c r="L14" s="10">
        <v>36</v>
      </c>
      <c r="M14" s="5">
        <v>1.05</v>
      </c>
      <c r="N14" s="6">
        <f>2.52/M14*L14</f>
        <v>86.399999999999991</v>
      </c>
      <c r="O14" s="7">
        <f>G14*L14</f>
        <v>324</v>
      </c>
    </row>
    <row r="15" spans="1:15">
      <c r="A15" s="30" t="s">
        <v>29</v>
      </c>
      <c r="B15" s="3" t="s">
        <v>30</v>
      </c>
      <c r="C15" s="4">
        <v>46219</v>
      </c>
      <c r="D15" s="5">
        <v>0</v>
      </c>
      <c r="E15" s="45">
        <v>0</v>
      </c>
      <c r="F15" s="45">
        <f t="shared" si="0"/>
        <v>0</v>
      </c>
      <c r="G15" s="43">
        <v>8</v>
      </c>
      <c r="H15" s="6">
        <f>IF(G15=0,0,D15/G15)</f>
        <v>0</v>
      </c>
      <c r="I15" s="31">
        <f>IF(G15=0,0,SUMPRODUCT(H15:H16,M15:M16)/(L15*2.52))</f>
        <v>1.2466216216216219</v>
      </c>
      <c r="J15" s="48">
        <v>1.3</v>
      </c>
      <c r="K15" s="32">
        <f>I15*L15*G15</f>
        <v>369.00000000000011</v>
      </c>
      <c r="L15" s="32">
        <v>37</v>
      </c>
      <c r="M15" s="5">
        <v>1.84</v>
      </c>
      <c r="N15" s="6">
        <f>2.52/M15*L15</f>
        <v>50.673913043478258</v>
      </c>
      <c r="O15" s="7">
        <f>G15*L15</f>
        <v>296</v>
      </c>
    </row>
    <row r="16" spans="1:15">
      <c r="A16" s="30"/>
      <c r="B16" s="3" t="s">
        <v>31</v>
      </c>
      <c r="C16" s="4">
        <v>46272</v>
      </c>
      <c r="D16" s="5">
        <v>1148</v>
      </c>
      <c r="E16" s="45">
        <v>1152</v>
      </c>
      <c r="F16" s="45">
        <f t="shared" si="0"/>
        <v>-4</v>
      </c>
      <c r="G16" s="43"/>
      <c r="H16" s="6">
        <f>IF(G15=0,0,D16/G15)</f>
        <v>143.5</v>
      </c>
      <c r="I16" s="31"/>
      <c r="J16" s="49"/>
      <c r="K16" s="32"/>
      <c r="L16" s="32"/>
      <c r="M16" s="5">
        <v>0.81</v>
      </c>
      <c r="N16" s="6">
        <f>2.52/M16*L15</f>
        <v>115.1111111111111</v>
      </c>
      <c r="O16" s="7"/>
    </row>
    <row r="17" spans="1:15">
      <c r="A17" s="30" t="s">
        <v>32</v>
      </c>
      <c r="B17" s="3" t="s">
        <v>26</v>
      </c>
      <c r="C17" s="4">
        <v>46280</v>
      </c>
      <c r="D17" s="5">
        <v>513</v>
      </c>
      <c r="E17" s="45">
        <v>528</v>
      </c>
      <c r="F17" s="45">
        <f t="shared" si="0"/>
        <v>-15</v>
      </c>
      <c r="G17" s="43">
        <v>8</v>
      </c>
      <c r="H17" s="6">
        <f>IF(G17=0,0,D17/G17)</f>
        <v>64.125</v>
      </c>
      <c r="I17" s="31">
        <f>IF(G17=0,0,SUMPRODUCT(H17:H18,M17:M18)/(L17*2.52))</f>
        <v>1.1341836734693878</v>
      </c>
      <c r="J17" s="48">
        <v>1</v>
      </c>
      <c r="K17" s="32">
        <f>I17*L17*G17</f>
        <v>317.57142857142856</v>
      </c>
      <c r="L17" s="32">
        <v>35</v>
      </c>
      <c r="M17" s="5">
        <v>1.56</v>
      </c>
      <c r="N17" s="6">
        <f>2.52/M17*L17</f>
        <v>56.53846153846154</v>
      </c>
      <c r="O17" s="7">
        <f>G17*L17</f>
        <v>280</v>
      </c>
    </row>
    <row r="18" spans="1:15">
      <c r="A18" s="30"/>
      <c r="B18" s="3" t="s">
        <v>26</v>
      </c>
      <c r="C18" s="4">
        <v>46280</v>
      </c>
      <c r="D18" s="5">
        <v>0</v>
      </c>
      <c r="E18" s="45">
        <v>0</v>
      </c>
      <c r="F18" s="45">
        <f t="shared" si="0"/>
        <v>0</v>
      </c>
      <c r="G18" s="43"/>
      <c r="H18" s="6">
        <f>IF(G17=0,0,D18/G17)</f>
        <v>0</v>
      </c>
      <c r="I18" s="31"/>
      <c r="J18" s="49"/>
      <c r="K18" s="32"/>
      <c r="L18" s="32"/>
      <c r="M18" s="5">
        <v>1.72</v>
      </c>
      <c r="N18" s="6">
        <f>2.52/M18*L17</f>
        <v>51.279069767441861</v>
      </c>
      <c r="O18" s="7"/>
    </row>
    <row r="19" spans="1:15">
      <c r="A19" s="8" t="s">
        <v>33</v>
      </c>
      <c r="B19" s="3" t="s">
        <v>34</v>
      </c>
      <c r="C19" s="4">
        <v>46240</v>
      </c>
      <c r="D19" s="5">
        <v>671</v>
      </c>
      <c r="E19" s="45">
        <v>671</v>
      </c>
      <c r="F19" s="45">
        <f t="shared" si="0"/>
        <v>0</v>
      </c>
      <c r="G19" s="44">
        <v>9</v>
      </c>
      <c r="H19" s="6">
        <f>IF(G19=0,0,D19/G19)</f>
        <v>74.555555555555557</v>
      </c>
      <c r="I19" s="9">
        <f>IF(G19=0,0,SUMPRODUCT(H19:H19,M19:M19)/(L19*2.52))</f>
        <v>1.4299676660787772</v>
      </c>
      <c r="J19" s="9">
        <v>1.5</v>
      </c>
      <c r="K19" s="10">
        <f>I19*L19*G19</f>
        <v>463.30952380952385</v>
      </c>
      <c r="L19" s="10">
        <v>36</v>
      </c>
      <c r="M19" s="5">
        <v>1.74</v>
      </c>
      <c r="N19" s="6">
        <f>2.52/M19*L19</f>
        <v>52.137931034482762</v>
      </c>
      <c r="O19" s="7">
        <f>G19*L19</f>
        <v>324</v>
      </c>
    </row>
    <row r="20" spans="1:15">
      <c r="A20" s="8" t="s">
        <v>35</v>
      </c>
      <c r="B20" s="3" t="s">
        <v>36</v>
      </c>
      <c r="C20" s="4">
        <v>46267</v>
      </c>
      <c r="D20" s="5">
        <v>1567</v>
      </c>
      <c r="E20" s="45">
        <v>1567</v>
      </c>
      <c r="F20" s="45">
        <f t="shared" si="0"/>
        <v>0</v>
      </c>
      <c r="G20" s="44">
        <v>9</v>
      </c>
      <c r="H20" s="6">
        <f>IF(G20=0,0,D20/G20)</f>
        <v>174.11111111111111</v>
      </c>
      <c r="I20" s="9">
        <f>IF(G20=0,0,SUMPRODUCT(H20:H20,M20:M20)/(L20*2.52))</f>
        <v>1.4777949245541839</v>
      </c>
      <c r="J20" s="9">
        <v>1.4</v>
      </c>
      <c r="K20" s="10">
        <f>I20*L20*G20</f>
        <v>478.8055555555556</v>
      </c>
      <c r="L20" s="10">
        <v>36</v>
      </c>
      <c r="M20" s="5">
        <v>0.77</v>
      </c>
      <c r="N20" s="6">
        <f>2.52/M20*L20</f>
        <v>117.81818181818181</v>
      </c>
      <c r="O20" s="7">
        <f>G20*L20</f>
        <v>324</v>
      </c>
    </row>
    <row r="21" spans="1:15">
      <c r="A21" s="30" t="s">
        <v>37</v>
      </c>
      <c r="B21" s="3" t="s">
        <v>26</v>
      </c>
      <c r="C21" s="4">
        <v>46274</v>
      </c>
      <c r="D21" s="5">
        <v>462</v>
      </c>
      <c r="E21" s="46">
        <v>700</v>
      </c>
      <c r="F21" s="46">
        <f>D21+D22-E21</f>
        <v>63</v>
      </c>
      <c r="G21" s="43">
        <v>9</v>
      </c>
      <c r="H21" s="6">
        <f>IF(G21=0,0,D21/G21)</f>
        <v>51.333333333333336</v>
      </c>
      <c r="I21" s="31">
        <f>IF(G21=0,0,SUMPRODUCT(H21:H22,M21:M22)/(L21*2.52))</f>
        <v>1.516803840877915</v>
      </c>
      <c r="J21" s="48">
        <v>1.5</v>
      </c>
      <c r="K21" s="32">
        <f>I21*L21*G21</f>
        <v>491.44444444444446</v>
      </c>
      <c r="L21" s="32">
        <v>36</v>
      </c>
      <c r="M21" s="5">
        <v>1.56</v>
      </c>
      <c r="N21" s="6">
        <f>2.52/M21*L21</f>
        <v>58.153846153846153</v>
      </c>
      <c r="O21" s="7">
        <f>G21*L21</f>
        <v>324</v>
      </c>
    </row>
    <row r="22" spans="1:15">
      <c r="A22" s="30"/>
      <c r="B22" s="3" t="s">
        <v>26</v>
      </c>
      <c r="C22" s="4">
        <v>46274</v>
      </c>
      <c r="D22" s="5">
        <v>301</v>
      </c>
      <c r="E22" s="47"/>
      <c r="F22" s="47"/>
      <c r="G22" s="43"/>
      <c r="H22" s="6">
        <f>IF(G21=0,0,D22/G21)</f>
        <v>33.444444444444443</v>
      </c>
      <c r="I22" s="31"/>
      <c r="J22" s="49"/>
      <c r="K22" s="32"/>
      <c r="L22" s="32"/>
      <c r="M22" s="5">
        <v>1.72</v>
      </c>
      <c r="N22" s="6">
        <f>2.52/M22*L21</f>
        <v>52.744186046511629</v>
      </c>
      <c r="O22" s="7"/>
    </row>
    <row r="23" spans="1:15">
      <c r="A23" s="30" t="s">
        <v>38</v>
      </c>
      <c r="B23" s="3" t="s">
        <v>39</v>
      </c>
      <c r="C23" s="4">
        <v>46235</v>
      </c>
      <c r="D23" s="5">
        <v>16</v>
      </c>
      <c r="E23" s="45">
        <v>16</v>
      </c>
      <c r="F23" s="45">
        <f t="shared" si="0"/>
        <v>0</v>
      </c>
      <c r="G23" s="43">
        <v>8</v>
      </c>
      <c r="H23" s="6">
        <f>IF(G23=0,0,D23/G23)</f>
        <v>2</v>
      </c>
      <c r="I23" s="31">
        <f>IF(G23=0,0,SUMPRODUCT(H23:H26,M23:M26)/(L23*2.52))</f>
        <v>1.5868331128747797</v>
      </c>
      <c r="J23" s="48">
        <v>1.1000000000000001</v>
      </c>
      <c r="K23" s="32">
        <f>I23*L23*G23</f>
        <v>457.00793650793656</v>
      </c>
      <c r="L23" s="32">
        <v>36</v>
      </c>
      <c r="M23" s="5">
        <v>1.1599999999999999</v>
      </c>
      <c r="N23" s="6">
        <f>2.52/M23*L23</f>
        <v>78.206896551724142</v>
      </c>
      <c r="O23" s="7">
        <f>G23*L23</f>
        <v>288</v>
      </c>
    </row>
    <row r="24" spans="1:15">
      <c r="A24" s="30"/>
      <c r="B24" s="3" t="s">
        <v>40</v>
      </c>
      <c r="C24" s="4">
        <v>46268</v>
      </c>
      <c r="D24" s="5">
        <v>3</v>
      </c>
      <c r="E24" s="45">
        <v>3</v>
      </c>
      <c r="F24" s="45">
        <f t="shared" si="0"/>
        <v>0</v>
      </c>
      <c r="G24" s="43"/>
      <c r="H24" s="6">
        <f>IF(G23=0,0,D24/G23)</f>
        <v>0.375</v>
      </c>
      <c r="I24" s="31"/>
      <c r="J24" s="50"/>
      <c r="K24" s="32"/>
      <c r="L24" s="32"/>
      <c r="M24" s="5">
        <v>1.1599999999999999</v>
      </c>
      <c r="N24" s="6">
        <f>2.52/M24*L23</f>
        <v>78.206896551724142</v>
      </c>
      <c r="O24" s="7"/>
    </row>
    <row r="25" spans="1:15">
      <c r="A25" s="30"/>
      <c r="B25" s="3" t="s">
        <v>41</v>
      </c>
      <c r="C25" s="4">
        <v>46273</v>
      </c>
      <c r="D25" s="5">
        <v>196</v>
      </c>
      <c r="E25" s="45">
        <v>196</v>
      </c>
      <c r="F25" s="45">
        <f t="shared" si="0"/>
        <v>0</v>
      </c>
      <c r="G25" s="43"/>
      <c r="H25" s="6">
        <f>IF(G23=0,0,D25/G23)</f>
        <v>24.5</v>
      </c>
      <c r="I25" s="31"/>
      <c r="J25" s="50"/>
      <c r="K25" s="32"/>
      <c r="L25" s="32"/>
      <c r="M25" s="5">
        <v>1.22</v>
      </c>
      <c r="N25" s="6">
        <f>2.52/M25*L23</f>
        <v>74.360655737704917</v>
      </c>
      <c r="O25" s="7"/>
    </row>
    <row r="26" spans="1:15">
      <c r="A26" s="30"/>
      <c r="B26" s="3" t="s">
        <v>18</v>
      </c>
      <c r="C26" s="4">
        <v>46281</v>
      </c>
      <c r="D26" s="5">
        <v>650</v>
      </c>
      <c r="E26" s="45">
        <v>650</v>
      </c>
      <c r="F26" s="45">
        <f t="shared" si="0"/>
        <v>0</v>
      </c>
      <c r="G26" s="43"/>
      <c r="H26" s="6">
        <f>IF(G23=0,0,D26/G23)</f>
        <v>81.25</v>
      </c>
      <c r="I26" s="31"/>
      <c r="J26" s="49"/>
      <c r="K26" s="32"/>
      <c r="L26" s="32"/>
      <c r="M26" s="5">
        <v>1.37</v>
      </c>
      <c r="N26" s="6">
        <f>2.52/M26*L23</f>
        <v>66.21897810218978</v>
      </c>
      <c r="O26" s="7"/>
    </row>
    <row r="27" spans="1:15">
      <c r="A27" s="8" t="s">
        <v>42</v>
      </c>
      <c r="B27" s="3" t="s">
        <v>23</v>
      </c>
      <c r="C27" s="4">
        <v>46255</v>
      </c>
      <c r="D27" s="5">
        <v>1750</v>
      </c>
      <c r="E27" s="45">
        <v>1750</v>
      </c>
      <c r="F27" s="45">
        <f t="shared" si="0"/>
        <v>0</v>
      </c>
      <c r="G27" s="44">
        <v>9</v>
      </c>
      <c r="H27" s="6">
        <f>IF(G27=0,0,D27/G27)</f>
        <v>194.44444444444446</v>
      </c>
      <c r="I27" s="9">
        <f>IF(G27=0,0,SUMPRODUCT(H27:H27,M27:M27)/(L27*2.52))</f>
        <v>1.8143143143143146</v>
      </c>
      <c r="J27" s="9">
        <v>1.6</v>
      </c>
      <c r="K27" s="10">
        <f>I27*L27*G27</f>
        <v>604.16666666666674</v>
      </c>
      <c r="L27" s="10">
        <v>37</v>
      </c>
      <c r="M27" s="5">
        <v>0.87</v>
      </c>
      <c r="N27" s="6">
        <f>2.52/M27*L27</f>
        <v>107.17241379310344</v>
      </c>
      <c r="O27" s="7">
        <f>G27*L27</f>
        <v>333</v>
      </c>
    </row>
    <row r="28" spans="1:15">
      <c r="A28" s="8" t="s">
        <v>43</v>
      </c>
      <c r="B28" s="3" t="s">
        <v>21</v>
      </c>
      <c r="C28" s="4">
        <v>46209</v>
      </c>
      <c r="D28" s="5">
        <v>1202</v>
      </c>
      <c r="E28" s="45">
        <v>1202</v>
      </c>
      <c r="F28" s="45">
        <f t="shared" si="0"/>
        <v>0</v>
      </c>
      <c r="G28" s="44">
        <v>9</v>
      </c>
      <c r="H28" s="6">
        <f>IF(G28=0,0,D28/G28)</f>
        <v>133.55555555555554</v>
      </c>
      <c r="I28" s="9">
        <f>IF(G28=0,0,SUMPRODUCT(H28:H28,M28:M28)/(L28*2.52))</f>
        <v>1.8621001954335288</v>
      </c>
      <c r="J28" s="9">
        <v>1.58</v>
      </c>
      <c r="K28" s="10">
        <f>I28*L28*G28</f>
        <v>620.07936507936518</v>
      </c>
      <c r="L28" s="10">
        <v>37</v>
      </c>
      <c r="M28" s="5">
        <v>1.3</v>
      </c>
      <c r="N28" s="6">
        <f>2.52/M28*L28</f>
        <v>71.723076923076917</v>
      </c>
      <c r="O28" s="7">
        <f>G28*L28</f>
        <v>333</v>
      </c>
    </row>
    <row r="29" spans="1:15">
      <c r="A29" s="30" t="s">
        <v>44</v>
      </c>
      <c r="B29" s="3" t="s">
        <v>25</v>
      </c>
      <c r="C29" s="4">
        <v>46209</v>
      </c>
      <c r="D29" s="5">
        <v>348</v>
      </c>
      <c r="E29" s="45">
        <v>348</v>
      </c>
      <c r="F29" s="45">
        <f t="shared" si="0"/>
        <v>0</v>
      </c>
      <c r="G29" s="43">
        <v>9</v>
      </c>
      <c r="H29" s="6">
        <f>IF(G29=0,0,D29/G29)</f>
        <v>38.666666666666664</v>
      </c>
      <c r="I29" s="31">
        <f>IF(G29=0,0,SUMPRODUCT(H29:H31,M29:M31)/(L29*2.52))</f>
        <v>1.9874583578287282</v>
      </c>
      <c r="J29" s="48">
        <v>1.4</v>
      </c>
      <c r="K29" s="32">
        <f>I29*L29*G29</f>
        <v>643.93650793650795</v>
      </c>
      <c r="L29" s="32">
        <v>36</v>
      </c>
      <c r="M29" s="5">
        <v>0.87</v>
      </c>
      <c r="N29" s="6">
        <f>2.52/M29*L29</f>
        <v>104.27586206896552</v>
      </c>
      <c r="O29" s="7">
        <f>G29*L29</f>
        <v>324</v>
      </c>
    </row>
    <row r="30" spans="1:15">
      <c r="A30" s="30"/>
      <c r="B30" s="3" t="s">
        <v>26</v>
      </c>
      <c r="C30" s="4">
        <v>46275</v>
      </c>
      <c r="D30" s="5">
        <v>232</v>
      </c>
      <c r="E30" s="46">
        <v>789</v>
      </c>
      <c r="F30" s="46">
        <f>D30+D31-E30</f>
        <v>0</v>
      </c>
      <c r="G30" s="43"/>
      <c r="H30" s="6">
        <f>IF(G29=0,0,D30/G29)</f>
        <v>25.777777777777779</v>
      </c>
      <c r="I30" s="31"/>
      <c r="J30" s="50"/>
      <c r="K30" s="32"/>
      <c r="L30" s="32"/>
      <c r="M30" s="5">
        <v>1.56</v>
      </c>
      <c r="N30" s="6">
        <f>2.52/M30*L29</f>
        <v>58.153846153846153</v>
      </c>
      <c r="O30" s="7"/>
    </row>
    <row r="31" spans="1:15">
      <c r="A31" s="30"/>
      <c r="B31" s="3" t="s">
        <v>26</v>
      </c>
      <c r="C31" s="4">
        <v>46275</v>
      </c>
      <c r="D31" s="5">
        <v>557</v>
      </c>
      <c r="E31" s="47"/>
      <c r="F31" s="47"/>
      <c r="G31" s="43"/>
      <c r="H31" s="6">
        <f>IF(G29=0,0,D31/G29)</f>
        <v>61.888888888888886</v>
      </c>
      <c r="I31" s="31"/>
      <c r="J31" s="49"/>
      <c r="K31" s="32"/>
      <c r="L31" s="32"/>
      <c r="M31" s="5">
        <v>1.72</v>
      </c>
      <c r="N31" s="6">
        <f>2.52/M31*L29</f>
        <v>52.744186046511629</v>
      </c>
      <c r="O31" s="7"/>
    </row>
    <row r="32" spans="1:15">
      <c r="A32" s="8" t="s">
        <v>45</v>
      </c>
      <c r="B32" s="3" t="s">
        <v>46</v>
      </c>
      <c r="C32" s="4">
        <v>46253</v>
      </c>
      <c r="D32" s="5">
        <v>1808</v>
      </c>
      <c r="E32" s="45">
        <v>1800</v>
      </c>
      <c r="F32" s="45">
        <f t="shared" si="0"/>
        <v>8</v>
      </c>
      <c r="G32" s="44">
        <v>9</v>
      </c>
      <c r="H32" s="6">
        <f>IF(G32=0,0,D32/G32)</f>
        <v>200.88888888888889</v>
      </c>
      <c r="I32" s="9">
        <f>IF(G32=0,0,SUMPRODUCT(H32:H32,M32:M32)/(L32*2.52))</f>
        <v>1.7020830354163687</v>
      </c>
      <c r="J32" s="9">
        <v>1.7</v>
      </c>
      <c r="K32" s="10">
        <f>I32*L32*G32</f>
        <v>566.79365079365084</v>
      </c>
      <c r="L32" s="10">
        <v>37</v>
      </c>
      <c r="M32" s="5">
        <v>0.79</v>
      </c>
      <c r="N32" s="6">
        <f>2.52/M32*L32</f>
        <v>118.02531645569618</v>
      </c>
      <c r="O32" s="7">
        <f>G32*L32</f>
        <v>333</v>
      </c>
    </row>
    <row r="33" spans="1:15">
      <c r="A33" s="8" t="s">
        <v>47</v>
      </c>
      <c r="B33" s="3" t="s">
        <v>18</v>
      </c>
      <c r="C33" s="4">
        <v>46280</v>
      </c>
      <c r="D33" s="5">
        <v>900</v>
      </c>
      <c r="E33" s="45">
        <v>900</v>
      </c>
      <c r="F33" s="45">
        <f t="shared" si="0"/>
        <v>0</v>
      </c>
      <c r="G33" s="44">
        <v>9</v>
      </c>
      <c r="H33" s="6">
        <f>IF(G33=0,0,D33/G33)</f>
        <v>100</v>
      </c>
      <c r="I33" s="9">
        <f>IF(G33=0,0,SUMPRODUCT(H33:H33,M33:M33)/(L33*2.52))</f>
        <v>1.5989729225023341</v>
      </c>
      <c r="J33" s="9">
        <v>1.6</v>
      </c>
      <c r="K33" s="10">
        <f>I33*L33*G33</f>
        <v>489.28571428571422</v>
      </c>
      <c r="L33" s="10">
        <v>34</v>
      </c>
      <c r="M33" s="5">
        <v>1.37</v>
      </c>
      <c r="N33" s="6">
        <f>2.52/M33*L33</f>
        <v>62.540145985401459</v>
      </c>
      <c r="O33" s="7">
        <f>G33*L33</f>
        <v>306</v>
      </c>
    </row>
    <row r="34" spans="1:15">
      <c r="A34" s="8" t="s">
        <v>48</v>
      </c>
      <c r="B34" s="3" t="s">
        <v>31</v>
      </c>
      <c r="C34" s="4">
        <v>46268</v>
      </c>
      <c r="D34" s="5">
        <v>923</v>
      </c>
      <c r="E34" s="45">
        <v>928</v>
      </c>
      <c r="F34" s="45">
        <f t="shared" si="0"/>
        <v>-5</v>
      </c>
      <c r="G34" s="44">
        <v>8</v>
      </c>
      <c r="H34" s="6">
        <f>IF(G34=0,0,D34/G34)</f>
        <v>115.375</v>
      </c>
      <c r="I34" s="9">
        <f>IF(G34=0,0,SUMPRODUCT(H34:H34,M34:M34)/(L34*2.52))</f>
        <v>1.0595663265306121</v>
      </c>
      <c r="J34" s="9">
        <v>1.17</v>
      </c>
      <c r="K34" s="10">
        <f>I34*L34*G34</f>
        <v>296.67857142857139</v>
      </c>
      <c r="L34" s="10">
        <v>35</v>
      </c>
      <c r="M34" s="5">
        <v>0.81</v>
      </c>
      <c r="N34" s="6">
        <f>2.52/M34*L34</f>
        <v>108.88888888888887</v>
      </c>
      <c r="O34" s="7">
        <f>G34*L34</f>
        <v>280</v>
      </c>
    </row>
    <row r="35" spans="1:15">
      <c r="A35" s="8" t="s">
        <v>49</v>
      </c>
      <c r="B35" s="3" t="s">
        <v>15</v>
      </c>
      <c r="C35" s="4">
        <v>46274</v>
      </c>
      <c r="D35" s="5">
        <v>1697</v>
      </c>
      <c r="E35" s="45">
        <v>1710</v>
      </c>
      <c r="F35" s="45">
        <f t="shared" si="0"/>
        <v>-13</v>
      </c>
      <c r="G35" s="44">
        <v>9</v>
      </c>
      <c r="H35" s="6">
        <f>IF(G35=0,0,D35/G35)</f>
        <v>188.55555555555554</v>
      </c>
      <c r="I35" s="9">
        <f>IF(G35=0,0,SUMPRODUCT(H35:H35,M35:M35)/(L35*2.52))</f>
        <v>1.5348437570659792</v>
      </c>
      <c r="J35" s="9">
        <v>1.25</v>
      </c>
      <c r="K35" s="10">
        <f>I35*L35*G35</f>
        <v>538.73015873015868</v>
      </c>
      <c r="L35" s="10">
        <v>39</v>
      </c>
      <c r="M35" s="5">
        <v>0.8</v>
      </c>
      <c r="N35" s="6">
        <f>2.52/M35*L35</f>
        <v>122.85</v>
      </c>
      <c r="O35" s="7">
        <f>G35*L35</f>
        <v>351</v>
      </c>
    </row>
    <row r="36" spans="1:15">
      <c r="A36" s="8" t="s">
        <v>50</v>
      </c>
      <c r="B36" s="3" t="s">
        <v>51</v>
      </c>
      <c r="C36" s="4">
        <v>46272</v>
      </c>
      <c r="D36" s="5">
        <v>646</v>
      </c>
      <c r="E36" s="45">
        <v>653</v>
      </c>
      <c r="F36" s="45">
        <f t="shared" si="0"/>
        <v>-7</v>
      </c>
      <c r="G36" s="44">
        <v>9</v>
      </c>
      <c r="H36" s="6">
        <f>IF(G36=0,0,D36/G36)</f>
        <v>71.777777777777771</v>
      </c>
      <c r="I36" s="9">
        <f>IF(G36=0,0,SUMPRODUCT(H36:H36,M36:M36)/(L36*2.52))</f>
        <v>1.0396384479717811</v>
      </c>
      <c r="J36" s="9">
        <v>1.25</v>
      </c>
      <c r="K36" s="10">
        <f>I36*L36*G36</f>
        <v>374.26984126984115</v>
      </c>
      <c r="L36" s="10">
        <v>40</v>
      </c>
      <c r="M36" s="5">
        <v>1.46</v>
      </c>
      <c r="N36" s="6">
        <f>2.52/M36*L36</f>
        <v>69.041095890410958</v>
      </c>
      <c r="O36" s="7">
        <f>G36*L36</f>
        <v>360</v>
      </c>
    </row>
    <row r="37" spans="1:15">
      <c r="A37" s="24" t="s">
        <v>52</v>
      </c>
      <c r="B37" s="25"/>
      <c r="C37" s="26"/>
      <c r="D37" s="11">
        <f>SUM(D5:D36)</f>
        <v>20823</v>
      </c>
      <c r="E37" s="11">
        <f>SUM(E5:E36)</f>
        <v>20763</v>
      </c>
      <c r="F37" s="11">
        <f>F7+F13+F14+F16+F17+F34+F35+F36</f>
        <v>-79</v>
      </c>
      <c r="G37" s="12">
        <f>SUM(G5:G36)</f>
        <v>174</v>
      </c>
      <c r="H37" s="13"/>
      <c r="I37" s="14">
        <f>SUM(K5:K36)/O37</f>
        <v>1.4302481824064557</v>
      </c>
      <c r="J37" s="14"/>
      <c r="K37" s="11"/>
      <c r="L37" s="11">
        <f>SUM(L5:L36)</f>
        <v>719</v>
      </c>
      <c r="M37" s="11"/>
      <c r="N37" s="13"/>
      <c r="O37" s="15">
        <f>SUM(O5:O36)</f>
        <v>6255</v>
      </c>
    </row>
    <row r="38" spans="1:15">
      <c r="A38" s="16"/>
      <c r="B38" s="5"/>
      <c r="C38" s="4"/>
      <c r="D38" s="5"/>
      <c r="E38" s="5"/>
      <c r="F38" s="5"/>
      <c r="G38" s="17"/>
      <c r="H38" s="6"/>
      <c r="I38" s="18"/>
      <c r="J38" s="18"/>
      <c r="K38" s="5"/>
      <c r="L38" s="5"/>
      <c r="M38" s="5"/>
      <c r="N38" s="6"/>
      <c r="O38" s="7"/>
    </row>
    <row r="39" spans="1:15" ht="13.5" thickBot="1">
      <c r="A39" s="27" t="s">
        <v>53</v>
      </c>
      <c r="B39" s="28"/>
      <c r="C39" s="29"/>
      <c r="D39" s="19">
        <f>SUMIF(A5:A38, "&lt;&gt;Summary", D5:D38)</f>
        <v>20823</v>
      </c>
      <c r="E39" s="19"/>
      <c r="F39" s="19"/>
      <c r="G39" s="20">
        <f>SUMIF(A5:A38, "&lt;&gt;Summary", G5:G38)</f>
        <v>174</v>
      </c>
      <c r="H39" s="21"/>
      <c r="I39" s="22">
        <f>SUMIF(A5:A38, "&lt;&gt;Summary", K5:K38)/O39</f>
        <v>1.4302481824064557</v>
      </c>
      <c r="J39" s="22"/>
      <c r="K39" s="19"/>
      <c r="L39" s="19">
        <f>SUMIF(A5:A38, "&lt;&gt;Summary", L5:L38)</f>
        <v>719</v>
      </c>
      <c r="M39" s="19"/>
      <c r="N39" s="21"/>
      <c r="O39" s="23">
        <f>SUMIF(A5:A38, "&lt;&gt;Summary", O5:O38)</f>
        <v>6255</v>
      </c>
    </row>
    <row r="40" spans="1:15" ht="13.5" thickTop="1"/>
    <row r="41" spans="1:15">
      <c r="C41" s="39" t="s">
        <v>54</v>
      </c>
      <c r="D41" s="40">
        <f>SUM(K5:K10)/SUM(O5:O10)</f>
        <v>1.4904374538313245</v>
      </c>
      <c r="E41" s="40"/>
      <c r="F41" s="40"/>
    </row>
    <row r="42" spans="1:15">
      <c r="C42" s="39" t="s">
        <v>55</v>
      </c>
      <c r="D42" s="40">
        <f>SUM(K14:K20)/SUM(O14:O20)</f>
        <v>1.2494206554284075</v>
      </c>
      <c r="E42" s="40"/>
      <c r="F42" s="40"/>
    </row>
    <row r="43" spans="1:15">
      <c r="C43" s="39" t="s">
        <v>56</v>
      </c>
      <c r="D43" s="40">
        <f>SUM(K21:K31)/SUM(O21:O31)</f>
        <v>1.7581990765511366</v>
      </c>
      <c r="E43" s="40"/>
      <c r="F43" s="40"/>
    </row>
    <row r="44" spans="1:15">
      <c r="C44" s="39" t="s">
        <v>57</v>
      </c>
      <c r="D44" s="40">
        <f>SUM(K32:K36)/SUM(O32:O36)</f>
        <v>1.3900355438698992</v>
      </c>
      <c r="E44" s="40"/>
      <c r="F44" s="40"/>
    </row>
  </sheetData>
  <mergeCells count="69">
    <mergeCell ref="O3:O4"/>
    <mergeCell ref="A3:A4"/>
    <mergeCell ref="B3:B4"/>
    <mergeCell ref="C3:C4"/>
    <mergeCell ref="D3:D4"/>
    <mergeCell ref="G3:G4"/>
    <mergeCell ref="H3:H4"/>
    <mergeCell ref="E3:E4"/>
    <mergeCell ref="F3:F4"/>
    <mergeCell ref="J3:J4"/>
    <mergeCell ref="I3:I4"/>
    <mergeCell ref="K3:K4"/>
    <mergeCell ref="L3:L4"/>
    <mergeCell ref="M3:M4"/>
    <mergeCell ref="N3:N4"/>
    <mergeCell ref="A9:A10"/>
    <mergeCell ref="G9:G10"/>
    <mergeCell ref="I9:I10"/>
    <mergeCell ref="K9:K10"/>
    <mergeCell ref="L9:L10"/>
    <mergeCell ref="J9:J10"/>
    <mergeCell ref="A5:A7"/>
    <mergeCell ref="G5:G7"/>
    <mergeCell ref="I5:I7"/>
    <mergeCell ref="K5:K7"/>
    <mergeCell ref="L5:L7"/>
    <mergeCell ref="J5:J7"/>
    <mergeCell ref="A15:A16"/>
    <mergeCell ref="G15:G16"/>
    <mergeCell ref="I15:I16"/>
    <mergeCell ref="K15:K16"/>
    <mergeCell ref="L15:L16"/>
    <mergeCell ref="J15:J16"/>
    <mergeCell ref="A12:A13"/>
    <mergeCell ref="G12:G13"/>
    <mergeCell ref="I12:I13"/>
    <mergeCell ref="K12:K13"/>
    <mergeCell ref="L12:L13"/>
    <mergeCell ref="J12:J13"/>
    <mergeCell ref="A21:A22"/>
    <mergeCell ref="G21:G22"/>
    <mergeCell ref="I21:I22"/>
    <mergeCell ref="K21:K22"/>
    <mergeCell ref="L21:L22"/>
    <mergeCell ref="E21:E22"/>
    <mergeCell ref="F21:F22"/>
    <mergeCell ref="J21:J22"/>
    <mergeCell ref="A17:A18"/>
    <mergeCell ref="G17:G18"/>
    <mergeCell ref="I17:I18"/>
    <mergeCell ref="K17:K18"/>
    <mergeCell ref="L17:L18"/>
    <mergeCell ref="J17:J18"/>
    <mergeCell ref="K23:K26"/>
    <mergeCell ref="L23:L26"/>
    <mergeCell ref="A29:A31"/>
    <mergeCell ref="G29:G31"/>
    <mergeCell ref="I29:I31"/>
    <mergeCell ref="K29:K31"/>
    <mergeCell ref="L29:L31"/>
    <mergeCell ref="E30:E31"/>
    <mergeCell ref="F30:F31"/>
    <mergeCell ref="J23:J26"/>
    <mergeCell ref="J29:J31"/>
    <mergeCell ref="A37:C37"/>
    <mergeCell ref="A39:C39"/>
    <mergeCell ref="A23:A26"/>
    <mergeCell ref="G23:G26"/>
    <mergeCell ref="I23:I26"/>
  </mergeCells>
  <printOptions horizontalCentered="1"/>
  <pageMargins left="0.2" right="0.2" top="1" bottom="0.2" header="0.2" footer="0.2"/>
  <pageSetup paperSize="9" scale="70" fitToHeight="999" orientation="portrait" verticalDpi="0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2026-09-21T00:46:03Z</cp:lastPrinted>
  <dcterms:created xsi:type="dcterms:W3CDTF">2026-09-21T00:30:30Z</dcterms:created>
  <dcterms:modified xsi:type="dcterms:W3CDTF">2026-09-21T00:52:54Z</dcterms:modified>
</cp:coreProperties>
</file>