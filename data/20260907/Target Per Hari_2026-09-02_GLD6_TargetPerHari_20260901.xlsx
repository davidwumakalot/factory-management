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0" i="1"/>
  <c r="D49"/>
  <c r="D48"/>
  <c r="D47"/>
  <c r="I45"/>
  <c r="E45"/>
  <c r="D45"/>
  <c r="I44"/>
  <c r="E44"/>
  <c r="D44"/>
  <c r="L43"/>
  <c r="G43"/>
  <c r="H43" s="1"/>
  <c r="K43"/>
  <c r="F43"/>
  <c r="L41"/>
  <c r="K42"/>
  <c r="F42"/>
  <c r="K41"/>
  <c r="F41"/>
  <c r="G41" s="1"/>
  <c r="H41" s="1"/>
  <c r="L38"/>
  <c r="K40"/>
  <c r="F40"/>
  <c r="K39"/>
  <c r="F39"/>
  <c r="G38" s="1"/>
  <c r="H38" s="1"/>
  <c r="K38"/>
  <c r="F38"/>
  <c r="L36"/>
  <c r="K37"/>
  <c r="F37"/>
  <c r="K36"/>
  <c r="F36"/>
  <c r="G36" s="1"/>
  <c r="H36" s="1"/>
  <c r="L35"/>
  <c r="G35"/>
  <c r="H35" s="1"/>
  <c r="K35"/>
  <c r="F35"/>
  <c r="L33"/>
  <c r="K34"/>
  <c r="F34"/>
  <c r="K33"/>
  <c r="F33"/>
  <c r="G33" s="1"/>
  <c r="H33" s="1"/>
  <c r="L32"/>
  <c r="G32"/>
  <c r="H32" s="1"/>
  <c r="K32"/>
  <c r="F32"/>
  <c r="L30"/>
  <c r="K31"/>
  <c r="F31"/>
  <c r="K30"/>
  <c r="F30"/>
  <c r="G30" s="1"/>
  <c r="H30" s="1"/>
  <c r="L29"/>
  <c r="G29"/>
  <c r="H29" s="1"/>
  <c r="K29"/>
  <c r="F29"/>
  <c r="L28"/>
  <c r="H28"/>
  <c r="G28"/>
  <c r="K28"/>
  <c r="F28"/>
  <c r="L26"/>
  <c r="K27"/>
  <c r="F27"/>
  <c r="K26"/>
  <c r="F26"/>
  <c r="G26" s="1"/>
  <c r="H26" s="1"/>
  <c r="L19"/>
  <c r="K25"/>
  <c r="F25"/>
  <c r="K24"/>
  <c r="F24"/>
  <c r="K23"/>
  <c r="F23"/>
  <c r="K22"/>
  <c r="F22"/>
  <c r="K21"/>
  <c r="F21"/>
  <c r="K20"/>
  <c r="F20"/>
  <c r="G19" s="1"/>
  <c r="H19" s="1"/>
  <c r="K19"/>
  <c r="F19"/>
  <c r="L15"/>
  <c r="K18"/>
  <c r="F18"/>
  <c r="K17"/>
  <c r="F17"/>
  <c r="K16"/>
  <c r="F16"/>
  <c r="K15"/>
  <c r="F15"/>
  <c r="G15" s="1"/>
  <c r="H15" s="1"/>
  <c r="L14"/>
  <c r="H14"/>
  <c r="G14"/>
  <c r="K14"/>
  <c r="F14"/>
  <c r="L13"/>
  <c r="K13"/>
  <c r="F13"/>
  <c r="G13" s="1"/>
  <c r="H13" s="1"/>
  <c r="L12"/>
  <c r="K12"/>
  <c r="F12"/>
  <c r="G12" s="1"/>
  <c r="H12" s="1"/>
  <c r="L10"/>
  <c r="G10"/>
  <c r="H10" s="1"/>
  <c r="K11"/>
  <c r="F11"/>
  <c r="K10"/>
  <c r="F10"/>
  <c r="L9"/>
  <c r="K9"/>
  <c r="F9"/>
  <c r="G9" s="1"/>
  <c r="H9" s="1"/>
  <c r="L8"/>
  <c r="G8"/>
  <c r="H8" s="1"/>
  <c r="K8"/>
  <c r="F8"/>
  <c r="L5"/>
  <c r="L45" s="1"/>
  <c r="G45" s="1"/>
  <c r="H5"/>
  <c r="G5"/>
  <c r="K7"/>
  <c r="F7"/>
  <c r="K6"/>
  <c r="F6"/>
  <c r="K5"/>
  <c r="F5"/>
  <c r="L44" l="1"/>
  <c r="G44" s="1"/>
</calcChain>
</file>

<file path=xl/sharedStrings.xml><?xml version="1.0" encoding="utf-8"?>
<sst xmlns="http://schemas.openxmlformats.org/spreadsheetml/2006/main" count="78" uniqueCount="63">
  <si>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</si>
  <si>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</si>
  <si>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</si>
  <si>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</si>
  <si>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</si>
  <si>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</si>
  <si>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</si>
  <si>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</si>
  <si>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</si>
  <si>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</si>
  <si>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</si>
  <si>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</si>
  <si>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</si>
  <si>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</si>
  <si>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</si>
  <si>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PST840</t>
  </si>
  <si>
    <t>6-02</t>
  </si>
  <si>
    <t>X048GZ_C127</t>
  </si>
  <si>
    <t>6-03</t>
  </si>
  <si>
    <t>ST841_FA26</t>
  </si>
  <si>
    <t>6-04</t>
  </si>
  <si>
    <t>766362_HO26</t>
  </si>
  <si>
    <t>6-05</t>
  </si>
  <si>
    <t>LPST840</t>
  </si>
  <si>
    <t>6-06</t>
  </si>
  <si>
    <t>777362_VMI</t>
  </si>
  <si>
    <t>6-07</t>
  </si>
  <si>
    <t>352E6Y_SL_C127</t>
  </si>
  <si>
    <t>6-08</t>
  </si>
  <si>
    <t>766362_V1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</si>
  <si>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</si>
  <si>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</si>
  <si>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</si>
  <si>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</si>
  <si>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</si>
  <si>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</si>
  <si>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</si>
  <si>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</si>
  <si>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</si>
  <si>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</si>
  <si>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</si>
  <si>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MRLPMM_3PC_C127</t>
  </si>
  <si>
    <t>6-12</t>
  </si>
  <si>
    <t>ZC6HY000</t>
  </si>
  <si>
    <t>6-13</t>
  </si>
  <si>
    <t>1182723_HO26</t>
  </si>
  <si>
    <t>6-14</t>
  </si>
  <si>
    <t>00GG4Z_C127IND</t>
  </si>
  <si>
    <t>6-15</t>
  </si>
  <si>
    <t>6-16</t>
  </si>
  <si>
    <t>6-17</t>
  </si>
  <si>
    <t>6-18</t>
  </si>
  <si>
    <t>352E6Y_LL_C127</t>
  </si>
  <si>
    <t>910047_HO26DIS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</si>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</sst>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>
      <pane ySplit="4" topLeftCell="A14" activePane="bottomLeft" state="frozen"/>
      <selection pane="bottomLeft" activeCell="D5" sqref="D5:F4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46266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7" t="s">
        <v>13</v>
      </c>
      <c r="B5" s="3" t="s">
        <v>14</v>
      </c>
      <c r="C5" s="4">
        <v>46228</v>
      </c>
      <c r="D5" s="37">
        <v>49</v>
      </c>
      <c r="E5" s="38">
        <v>8</v>
      </c>
      <c r="F5" s="39">
        <f>IF(E5=0,0,D5/E5)</f>
        <v>6.125</v>
      </c>
      <c r="G5" s="28">
        <f>IF(E5=0,0,SUMPRODUCT(F5:F7,J5:J7)/(I5*2.52))</f>
        <v>0.62987764550264558</v>
      </c>
      <c r="H5" s="29">
        <f>G5*I5*E5</f>
        <v>181.40476190476193</v>
      </c>
      <c r="I5" s="29">
        <v>36</v>
      </c>
      <c r="J5" s="5">
        <v>0.78</v>
      </c>
      <c r="K5" s="6">
        <f>2.52/J5*I5</f>
        <v>116.30769230769231</v>
      </c>
      <c r="L5" s="7">
        <f>E5*I5</f>
        <v>288</v>
      </c>
    </row>
    <row r="6" spans="1:12">
      <c r="A6" s="27"/>
      <c r="B6" s="3" t="s">
        <v>15</v>
      </c>
      <c r="C6" s="4">
        <v>46265</v>
      </c>
      <c r="D6" s="37">
        <v>234</v>
      </c>
      <c r="E6" s="38"/>
      <c r="F6" s="39">
        <f>IF(E5=0,0,D6/E5)</f>
        <v>29.25</v>
      </c>
      <c r="G6" s="28"/>
      <c r="H6" s="29"/>
      <c r="I6" s="29"/>
      <c r="J6" s="5">
        <v>1.62</v>
      </c>
      <c r="K6" s="6">
        <f>2.52/J6*I5</f>
        <v>55.999999999999993</v>
      </c>
      <c r="L6" s="7"/>
    </row>
    <row r="7" spans="1:12">
      <c r="A7" s="27"/>
      <c r="B7" s="3" t="s">
        <v>15</v>
      </c>
      <c r="C7" s="4">
        <v>46265</v>
      </c>
      <c r="D7" s="37">
        <v>24</v>
      </c>
      <c r="E7" s="38"/>
      <c r="F7" s="39">
        <f>IF(E5=0,0,D7/E5)</f>
        <v>3</v>
      </c>
      <c r="G7" s="28"/>
      <c r="H7" s="29"/>
      <c r="I7" s="29"/>
      <c r="J7" s="5">
        <v>1.66</v>
      </c>
      <c r="K7" s="6">
        <f>2.52/J7*I5</f>
        <v>54.650602409638552</v>
      </c>
      <c r="L7" s="7"/>
    </row>
    <row r="8" spans="1:12">
      <c r="A8" s="8" t="s">
        <v>16</v>
      </c>
      <c r="B8" s="3" t="s">
        <v>17</v>
      </c>
      <c r="C8" s="4">
        <v>46265</v>
      </c>
      <c r="D8" s="37">
        <v>900</v>
      </c>
      <c r="E8" s="40">
        <v>8</v>
      </c>
      <c r="F8" s="39">
        <f>IF(E8=0,0,D8/E8)</f>
        <v>112.5</v>
      </c>
      <c r="G8" s="9">
        <f>IF(E8=0,0,SUMPRODUCT(F8:F8,J8:J8)/(I8*2.52))</f>
        <v>1.0044642857142858</v>
      </c>
      <c r="H8" s="10">
        <f>G8*I8*E8</f>
        <v>289.28571428571433</v>
      </c>
      <c r="I8" s="10">
        <v>36</v>
      </c>
      <c r="J8" s="5">
        <v>0.81</v>
      </c>
      <c r="K8" s="6">
        <f>2.52/J8*I8</f>
        <v>111.99999999999999</v>
      </c>
      <c r="L8" s="7">
        <f>E8*I8</f>
        <v>288</v>
      </c>
    </row>
    <row r="9" spans="1:12">
      <c r="A9" s="8" t="s">
        <v>18</v>
      </c>
      <c r="B9" s="3" t="s">
        <v>19</v>
      </c>
      <c r="C9" s="4">
        <v>46252</v>
      </c>
      <c r="D9" s="37">
        <v>600</v>
      </c>
      <c r="E9" s="40">
        <v>9</v>
      </c>
      <c r="F9" s="39">
        <f>IF(E9=0,0,D9/E9)</f>
        <v>66.666666666666671</v>
      </c>
      <c r="G9" s="9">
        <f>IF(E9=0,0,SUMPRODUCT(F9:F9,J9:J9)/(I9*2.52))</f>
        <v>1.2441012441012442</v>
      </c>
      <c r="H9" s="10">
        <f>G9*I9*E9</f>
        <v>414.28571428571433</v>
      </c>
      <c r="I9" s="10">
        <v>37</v>
      </c>
      <c r="J9" s="5">
        <v>1.74</v>
      </c>
      <c r="K9" s="6">
        <f>2.52/J9*I9</f>
        <v>53.586206896551722</v>
      </c>
      <c r="L9" s="7">
        <f>E9*I9</f>
        <v>333</v>
      </c>
    </row>
    <row r="10" spans="1:12">
      <c r="A10" s="27" t="s">
        <v>20</v>
      </c>
      <c r="B10" s="3" t="s">
        <v>21</v>
      </c>
      <c r="C10" s="4">
        <v>46203</v>
      </c>
      <c r="D10" s="37">
        <v>1001</v>
      </c>
      <c r="E10" s="38">
        <v>9</v>
      </c>
      <c r="F10" s="39">
        <f>IF(E10=0,0,D10/E10)</f>
        <v>111.22222222222223</v>
      </c>
      <c r="G10" s="28">
        <f>IF(E10=0,0,SUMPRODUCT(F10:F11,J10:J11)/(I10*2.52))</f>
        <v>1.5090155945419101</v>
      </c>
      <c r="H10" s="29">
        <f>G10*I10*E10</f>
        <v>516.08333333333326</v>
      </c>
      <c r="I10" s="29">
        <v>38</v>
      </c>
      <c r="J10" s="5">
        <v>0.85</v>
      </c>
      <c r="K10" s="6">
        <f>2.52/J10*I10</f>
        <v>112.65882352941176</v>
      </c>
      <c r="L10" s="7">
        <f>E10*I10</f>
        <v>342</v>
      </c>
    </row>
    <row r="11" spans="1:12">
      <c r="A11" s="27"/>
      <c r="B11" s="3" t="s">
        <v>21</v>
      </c>
      <c r="C11" s="4">
        <v>46203</v>
      </c>
      <c r="D11" s="37">
        <v>511</v>
      </c>
      <c r="E11" s="38"/>
      <c r="F11" s="39">
        <f>IF(E10=0,0,D11/E10)</f>
        <v>56.777777777777779</v>
      </c>
      <c r="G11" s="28"/>
      <c r="H11" s="29"/>
      <c r="I11" s="29"/>
      <c r="J11" s="5">
        <v>0.88</v>
      </c>
      <c r="K11" s="6">
        <f>2.52/J11*I10</f>
        <v>108.81818181818183</v>
      </c>
      <c r="L11" s="7"/>
    </row>
    <row r="12" spans="1:12">
      <c r="A12" s="8" t="s">
        <v>22</v>
      </c>
      <c r="B12" s="3" t="s">
        <v>23</v>
      </c>
      <c r="C12" s="4">
        <v>46254</v>
      </c>
      <c r="D12" s="37">
        <v>907</v>
      </c>
      <c r="E12" s="40">
        <v>9</v>
      </c>
      <c r="F12" s="39">
        <f>IF(E12=0,0,D12/E12)</f>
        <v>100.77777777777777</v>
      </c>
      <c r="G12" s="9">
        <f>IF(E12=0,0,SUMPRODUCT(F12:F12,J12:J12)/(I12*2.52))</f>
        <v>1.6329732510288064</v>
      </c>
      <c r="H12" s="10">
        <f>G12*I12*E12</f>
        <v>529.08333333333326</v>
      </c>
      <c r="I12" s="10">
        <v>36</v>
      </c>
      <c r="J12" s="5">
        <v>1.47</v>
      </c>
      <c r="K12" s="6">
        <f>2.52/J12*I12</f>
        <v>61.714285714285722</v>
      </c>
      <c r="L12" s="7">
        <f>E12*I12</f>
        <v>324</v>
      </c>
    </row>
    <row r="13" spans="1:12">
      <c r="A13" s="8" t="s">
        <v>24</v>
      </c>
      <c r="B13" s="3" t="s">
        <v>25</v>
      </c>
      <c r="C13" s="4">
        <v>46122</v>
      </c>
      <c r="D13" s="37">
        <v>1739</v>
      </c>
      <c r="E13" s="40">
        <v>9</v>
      </c>
      <c r="F13" s="39">
        <f>IF(E13=0,0,D13/E13)</f>
        <v>193.22222222222223</v>
      </c>
      <c r="G13" s="9">
        <f>IF(E13=0,0,SUMPRODUCT(F13:F13,J13:J13)/(I13*2.52))</f>
        <v>2.236368312757202</v>
      </c>
      <c r="H13" s="10">
        <f>G13*I13*E13</f>
        <v>724.58333333333337</v>
      </c>
      <c r="I13" s="10">
        <v>36</v>
      </c>
      <c r="J13" s="5">
        <v>1.05</v>
      </c>
      <c r="K13" s="6">
        <f>2.52/J13*I13</f>
        <v>86.399999999999991</v>
      </c>
      <c r="L13" s="7">
        <f>E13*I13</f>
        <v>324</v>
      </c>
    </row>
    <row r="14" spans="1:12">
      <c r="A14" s="8" t="s">
        <v>26</v>
      </c>
      <c r="B14" s="3" t="s">
        <v>27</v>
      </c>
      <c r="C14" s="4">
        <v>46255</v>
      </c>
      <c r="D14" s="37">
        <v>1797</v>
      </c>
      <c r="E14" s="40">
        <v>9</v>
      </c>
      <c r="F14" s="39">
        <f>IF(E14=0,0,D14/E14)</f>
        <v>199.66666666666666</v>
      </c>
      <c r="G14" s="9">
        <f>IF(E14=0,0,SUMPRODUCT(F14:F14,J14:J14)/(I14*2.52))</f>
        <v>1.50125313283208</v>
      </c>
      <c r="H14" s="10">
        <f>G14*I14*E14</f>
        <v>513.42857142857133</v>
      </c>
      <c r="I14" s="10">
        <v>38</v>
      </c>
      <c r="J14" s="5">
        <v>0.72</v>
      </c>
      <c r="K14" s="6">
        <f>2.52/J14*I14</f>
        <v>133</v>
      </c>
      <c r="L14" s="7">
        <f>E14*I14</f>
        <v>342</v>
      </c>
    </row>
    <row r="15" spans="1:12">
      <c r="A15" s="27" t="s">
        <v>28</v>
      </c>
      <c r="B15" s="3" t="s">
        <v>15</v>
      </c>
      <c r="C15" s="4"/>
      <c r="D15" s="37">
        <v>0</v>
      </c>
      <c r="E15" s="38">
        <v>8</v>
      </c>
      <c r="F15" s="39">
        <f>IF(E15=0,0,D15/E15)</f>
        <v>0</v>
      </c>
      <c r="G15" s="28">
        <f>IF(E15=0,0,SUMPRODUCT(F15:F18,J15:J18)/(I15*2.52))</f>
        <v>1.0141630116959064</v>
      </c>
      <c r="H15" s="29">
        <f>G15*I15*E15</f>
        <v>308.30555555555554</v>
      </c>
      <c r="I15" s="29">
        <v>38</v>
      </c>
      <c r="J15" s="5">
        <v>1.62</v>
      </c>
      <c r="K15" s="6">
        <f>2.52/J15*I15</f>
        <v>59.1111111111111</v>
      </c>
      <c r="L15" s="7">
        <f>E15*I15</f>
        <v>304</v>
      </c>
    </row>
    <row r="16" spans="1:12">
      <c r="A16" s="27"/>
      <c r="B16" s="3" t="s">
        <v>15</v>
      </c>
      <c r="C16" s="4"/>
      <c r="D16" s="37">
        <v>0</v>
      </c>
      <c r="E16" s="38"/>
      <c r="F16" s="39">
        <f>IF(E15=0,0,D16/E15)</f>
        <v>0</v>
      </c>
      <c r="G16" s="28"/>
      <c r="H16" s="29"/>
      <c r="I16" s="29"/>
      <c r="J16" s="5">
        <v>1.66</v>
      </c>
      <c r="K16" s="6">
        <f>2.52/J16*I15</f>
        <v>57.686746987951807</v>
      </c>
      <c r="L16" s="7"/>
    </row>
    <row r="17" spans="1:12">
      <c r="A17" s="27"/>
      <c r="B17" s="3" t="s">
        <v>29</v>
      </c>
      <c r="C17" s="4">
        <v>46179</v>
      </c>
      <c r="D17" s="37">
        <v>297</v>
      </c>
      <c r="E17" s="38"/>
      <c r="F17" s="39">
        <f>IF(E15=0,0,D17/E15)</f>
        <v>37.125</v>
      </c>
      <c r="G17" s="28"/>
      <c r="H17" s="29"/>
      <c r="I17" s="29"/>
      <c r="J17" s="5">
        <v>0.85</v>
      </c>
      <c r="K17" s="6">
        <f>2.52/J17*I15</f>
        <v>112.65882352941176</v>
      </c>
      <c r="L17" s="7"/>
    </row>
    <row r="18" spans="1:12">
      <c r="A18" s="27"/>
      <c r="B18" s="3" t="s">
        <v>29</v>
      </c>
      <c r="C18" s="4">
        <v>46179</v>
      </c>
      <c r="D18" s="37">
        <v>596</v>
      </c>
      <c r="E18" s="38"/>
      <c r="F18" s="39">
        <f>IF(E15=0,0,D18/E15)</f>
        <v>74.5</v>
      </c>
      <c r="G18" s="28"/>
      <c r="H18" s="29"/>
      <c r="I18" s="29"/>
      <c r="J18" s="5">
        <v>0.88</v>
      </c>
      <c r="K18" s="6">
        <f>2.52/J18*I15</f>
        <v>108.81818181818183</v>
      </c>
      <c r="L18" s="7"/>
    </row>
    <row r="19" spans="1:12">
      <c r="A19" s="27" t="s">
        <v>30</v>
      </c>
      <c r="B19" s="5" t="s">
        <v>31</v>
      </c>
      <c r="C19" s="4">
        <v>46206</v>
      </c>
      <c r="D19" s="37">
        <v>2895</v>
      </c>
      <c r="E19" s="38">
        <v>9</v>
      </c>
      <c r="F19" s="39">
        <f>IF(E19=0,0,D19/E19)</f>
        <v>321.66666666666669</v>
      </c>
      <c r="G19" s="28">
        <f>IF(E19=0,0,SUMPRODUCT(F19:F25,J19:J25)/(I19*2.52))</f>
        <v>2.9064302397635733</v>
      </c>
      <c r="H19" s="29">
        <f>G19*I19*E19</f>
        <v>967.84126984126999</v>
      </c>
      <c r="I19" s="29">
        <v>37</v>
      </c>
      <c r="J19" s="5">
        <v>0.2</v>
      </c>
      <c r="K19" s="6">
        <f>2.52/J19*I19</f>
        <v>466.2</v>
      </c>
      <c r="L19" s="7">
        <f>E19*I19</f>
        <v>333</v>
      </c>
    </row>
    <row r="20" spans="1:12">
      <c r="A20" s="27"/>
      <c r="B20" s="5" t="s">
        <v>32</v>
      </c>
      <c r="C20" s="4">
        <v>46206</v>
      </c>
      <c r="D20" s="37">
        <v>3376</v>
      </c>
      <c r="E20" s="38"/>
      <c r="F20" s="39">
        <f>IF(E19=0,0,D20/E19)</f>
        <v>375.11111111111109</v>
      </c>
      <c r="G20" s="28"/>
      <c r="H20" s="29"/>
      <c r="I20" s="29"/>
      <c r="J20" s="5">
        <v>0.2</v>
      </c>
      <c r="K20" s="6">
        <f>2.52/J20*I19</f>
        <v>466.2</v>
      </c>
      <c r="L20" s="7"/>
    </row>
    <row r="21" spans="1:12">
      <c r="A21" s="27"/>
      <c r="B21" s="5" t="s">
        <v>33</v>
      </c>
      <c r="C21" s="4">
        <v>46206</v>
      </c>
      <c r="D21" s="37">
        <v>1919</v>
      </c>
      <c r="E21" s="38"/>
      <c r="F21" s="39">
        <f>IF(E19=0,0,D21/E19)</f>
        <v>213.22222222222223</v>
      </c>
      <c r="G21" s="28"/>
      <c r="H21" s="29"/>
      <c r="I21" s="29"/>
      <c r="J21" s="5">
        <v>0.2</v>
      </c>
      <c r="K21" s="6">
        <f>2.52/J21*I19</f>
        <v>466.2</v>
      </c>
      <c r="L21" s="7"/>
    </row>
    <row r="22" spans="1:12">
      <c r="A22" s="27"/>
      <c r="B22" s="5" t="s">
        <v>34</v>
      </c>
      <c r="C22" s="4">
        <v>46206</v>
      </c>
      <c r="D22" s="37">
        <v>1384</v>
      </c>
      <c r="E22" s="38"/>
      <c r="F22" s="39">
        <f>IF(E19=0,0,D22/E19)</f>
        <v>153.77777777777777</v>
      </c>
      <c r="G22" s="28"/>
      <c r="H22" s="29"/>
      <c r="I22" s="29"/>
      <c r="J22" s="5">
        <v>0.2</v>
      </c>
      <c r="K22" s="6">
        <f>2.52/J22*I19</f>
        <v>466.2</v>
      </c>
      <c r="L22" s="7"/>
    </row>
    <row r="23" spans="1:12">
      <c r="A23" s="27"/>
      <c r="B23" s="5" t="s">
        <v>35</v>
      </c>
      <c r="C23" s="4">
        <v>46206</v>
      </c>
      <c r="D23" s="37">
        <v>12</v>
      </c>
      <c r="E23" s="38"/>
      <c r="F23" s="39">
        <f>IF(E19=0,0,D23/E19)</f>
        <v>1.3333333333333333</v>
      </c>
      <c r="G23" s="28"/>
      <c r="H23" s="29"/>
      <c r="I23" s="29"/>
      <c r="J23" s="5">
        <v>0.21</v>
      </c>
      <c r="K23" s="6">
        <f>2.52/J23*I19</f>
        <v>444</v>
      </c>
      <c r="L23" s="7"/>
    </row>
    <row r="24" spans="1:12">
      <c r="A24" s="27"/>
      <c r="B24" s="5" t="s">
        <v>36</v>
      </c>
      <c r="C24" s="4">
        <v>46206</v>
      </c>
      <c r="D24" s="37">
        <v>178</v>
      </c>
      <c r="E24" s="38"/>
      <c r="F24" s="39">
        <f>IF(E19=0,0,D24/E19)</f>
        <v>19.777777777777779</v>
      </c>
      <c r="G24" s="28"/>
      <c r="H24" s="29"/>
      <c r="I24" s="29"/>
      <c r="J24" s="5">
        <v>0.21</v>
      </c>
      <c r="K24" s="6">
        <f>2.52/J24*I19</f>
        <v>444</v>
      </c>
      <c r="L24" s="7"/>
    </row>
    <row r="25" spans="1:12">
      <c r="A25" s="27"/>
      <c r="B25" s="5" t="s">
        <v>37</v>
      </c>
      <c r="C25" s="4">
        <v>46206</v>
      </c>
      <c r="D25" s="37">
        <v>2306</v>
      </c>
      <c r="E25" s="38"/>
      <c r="F25" s="39">
        <f>IF(E19=0,0,D25/E19)</f>
        <v>256.22222222222223</v>
      </c>
      <c r="G25" s="28"/>
      <c r="H25" s="29"/>
      <c r="I25" s="29"/>
      <c r="J25" s="5">
        <v>0.21</v>
      </c>
      <c r="K25" s="6">
        <f>2.52/J25*I19</f>
        <v>444</v>
      </c>
      <c r="L25" s="7"/>
    </row>
    <row r="26" spans="1:12">
      <c r="A26" s="27" t="s">
        <v>38</v>
      </c>
      <c r="B26" s="3" t="s">
        <v>39</v>
      </c>
      <c r="C26" s="4">
        <v>46260</v>
      </c>
      <c r="D26" s="37">
        <v>1298</v>
      </c>
      <c r="E26" s="38">
        <v>8</v>
      </c>
      <c r="F26" s="39">
        <f>IF(E26=0,0,D26/E26)</f>
        <v>162.25</v>
      </c>
      <c r="G26" s="28">
        <f>IF(E26=0,0,SUMPRODUCT(F26:F27,J26:J27)/(I26*2.52))</f>
        <v>1.0496165808665809</v>
      </c>
      <c r="H26" s="29">
        <f>G26*I26*E26</f>
        <v>310.68650793650795</v>
      </c>
      <c r="I26" s="29">
        <v>37</v>
      </c>
      <c r="J26" s="5">
        <v>0.55000000000000004</v>
      </c>
      <c r="K26" s="6">
        <f>2.52/J26*I26</f>
        <v>169.5272727272727</v>
      </c>
      <c r="L26" s="7">
        <f>E26*I26</f>
        <v>296</v>
      </c>
    </row>
    <row r="27" spans="1:12">
      <c r="A27" s="27"/>
      <c r="B27" s="3" t="s">
        <v>39</v>
      </c>
      <c r="C27" s="4">
        <v>46260</v>
      </c>
      <c r="D27" s="37">
        <v>117</v>
      </c>
      <c r="E27" s="38"/>
      <c r="F27" s="39">
        <f>IF(E26=0,0,D27/E26)</f>
        <v>14.625</v>
      </c>
      <c r="G27" s="28"/>
      <c r="H27" s="29"/>
      <c r="I27" s="29"/>
      <c r="J27" s="5">
        <v>0.59</v>
      </c>
      <c r="K27" s="6">
        <f>2.52/J27*I26</f>
        <v>158.03389830508476</v>
      </c>
      <c r="L27" s="7"/>
    </row>
    <row r="28" spans="1:12">
      <c r="A28" s="8" t="s">
        <v>40</v>
      </c>
      <c r="B28" s="3" t="s">
        <v>41</v>
      </c>
      <c r="C28" s="4">
        <v>46258</v>
      </c>
      <c r="D28" s="37">
        <v>911</v>
      </c>
      <c r="E28" s="40">
        <v>9</v>
      </c>
      <c r="F28" s="39">
        <f>IF(E28=0,0,D28/E28)</f>
        <v>101.22222222222223</v>
      </c>
      <c r="G28" s="9">
        <f>IF(E28=0,0,SUMPRODUCT(F28:F28,J28:J28)/(I28*2.52))</f>
        <v>1.4404913945143833</v>
      </c>
      <c r="H28" s="10">
        <f>G28*I28*E28</f>
        <v>375.96825396825403</v>
      </c>
      <c r="I28" s="10">
        <v>29</v>
      </c>
      <c r="J28" s="5">
        <v>1.04</v>
      </c>
      <c r="K28" s="6">
        <f>2.52/J28*I28</f>
        <v>70.269230769230759</v>
      </c>
      <c r="L28" s="7">
        <f>E28*I28</f>
        <v>261</v>
      </c>
    </row>
    <row r="29" spans="1:12">
      <c r="A29" s="8" t="s">
        <v>42</v>
      </c>
      <c r="B29" s="3" t="s">
        <v>43</v>
      </c>
      <c r="C29" s="4">
        <v>46255</v>
      </c>
      <c r="D29" s="37">
        <v>1366</v>
      </c>
      <c r="E29" s="40">
        <v>9</v>
      </c>
      <c r="F29" s="39">
        <f>IF(E29=0,0,D29/E29)</f>
        <v>151.77777777777777</v>
      </c>
      <c r="G29" s="9">
        <f>IF(E29=0,0,SUMPRODUCT(F29:F29,J29:J29)/(I29*2.52))</f>
        <v>1.0460874408242828</v>
      </c>
      <c r="H29" s="10">
        <f>G29*I29*E29</f>
        <v>357.7619047619047</v>
      </c>
      <c r="I29" s="10">
        <v>38</v>
      </c>
      <c r="J29" s="5">
        <v>0.66</v>
      </c>
      <c r="K29" s="6">
        <f>2.52/J29*I29</f>
        <v>145.09090909090909</v>
      </c>
      <c r="L29" s="7">
        <f>E29*I29</f>
        <v>342</v>
      </c>
    </row>
    <row r="30" spans="1:12">
      <c r="A30" s="27" t="s">
        <v>44</v>
      </c>
      <c r="B30" s="3" t="s">
        <v>39</v>
      </c>
      <c r="C30" s="4"/>
      <c r="D30" s="37">
        <v>0</v>
      </c>
      <c r="E30" s="38">
        <v>8</v>
      </c>
      <c r="F30" s="39">
        <f>IF(E30=0,0,D30/E30)</f>
        <v>0</v>
      </c>
      <c r="G30" s="28">
        <f>IF(E30=0,0,SUMPRODUCT(F30:F31,J30:J31)/(I30*2.52))</f>
        <v>1.0912698412698414</v>
      </c>
      <c r="H30" s="29">
        <f>G30*I30*E30</f>
        <v>314.28571428571433</v>
      </c>
      <c r="I30" s="29">
        <v>36</v>
      </c>
      <c r="J30" s="5">
        <v>0.55000000000000004</v>
      </c>
      <c r="K30" s="6">
        <f>2.52/J30*I30</f>
        <v>164.94545454545451</v>
      </c>
      <c r="L30" s="7">
        <f>E30*I30</f>
        <v>288</v>
      </c>
    </row>
    <row r="31" spans="1:12">
      <c r="A31" s="27"/>
      <c r="B31" s="3" t="s">
        <v>45</v>
      </c>
      <c r="C31" s="4">
        <v>46227</v>
      </c>
      <c r="D31" s="37">
        <v>880</v>
      </c>
      <c r="E31" s="38"/>
      <c r="F31" s="39">
        <f>IF(E30=0,0,D31/E30)</f>
        <v>110</v>
      </c>
      <c r="G31" s="28"/>
      <c r="H31" s="29"/>
      <c r="I31" s="29"/>
      <c r="J31" s="5">
        <v>0.9</v>
      </c>
      <c r="K31" s="6">
        <f>2.52/J31*I30</f>
        <v>100.8</v>
      </c>
      <c r="L31" s="7"/>
    </row>
    <row r="32" spans="1:12">
      <c r="A32" s="8" t="s">
        <v>46</v>
      </c>
      <c r="B32" s="3" t="s">
        <v>47</v>
      </c>
      <c r="C32" s="4">
        <v>46246</v>
      </c>
      <c r="D32" s="37">
        <v>714</v>
      </c>
      <c r="E32" s="40">
        <v>9</v>
      </c>
      <c r="F32" s="39">
        <f>IF(E32=0,0,D32/E32)</f>
        <v>79.333333333333329</v>
      </c>
      <c r="G32" s="9">
        <f>IF(E32=0,0,SUMPRODUCT(F32:F32,J32:J32)/(I32*2.52))</f>
        <v>1.2847847847847846</v>
      </c>
      <c r="H32" s="10">
        <f>G32*I32*E32</f>
        <v>427.83333333333326</v>
      </c>
      <c r="I32" s="10">
        <v>37</v>
      </c>
      <c r="J32" s="5">
        <v>1.51</v>
      </c>
      <c r="K32" s="6">
        <f>2.52/J32*I32</f>
        <v>61.748344370860927</v>
      </c>
      <c r="L32" s="7">
        <f>E32*I32</f>
        <v>333</v>
      </c>
    </row>
    <row r="33" spans="1:12">
      <c r="A33" s="27" t="s">
        <v>48</v>
      </c>
      <c r="B33" s="3" t="s">
        <v>23</v>
      </c>
      <c r="C33" s="4">
        <v>46253</v>
      </c>
      <c r="D33" s="37">
        <v>864</v>
      </c>
      <c r="E33" s="38">
        <v>9</v>
      </c>
      <c r="F33" s="39">
        <f>IF(E33=0,0,D33/E33)</f>
        <v>96</v>
      </c>
      <c r="G33" s="28">
        <f>IF(E33=0,0,SUMPRODUCT(F33:F34,J33:J34)/(I33*2.52))</f>
        <v>1.6016850183516851</v>
      </c>
      <c r="H33" s="29">
        <f>G33*I33*E33</f>
        <v>533.36111111111109</v>
      </c>
      <c r="I33" s="29">
        <v>37</v>
      </c>
      <c r="J33" s="5">
        <v>1.47</v>
      </c>
      <c r="K33" s="6">
        <f>2.52/J33*I33</f>
        <v>63.428571428571431</v>
      </c>
      <c r="L33" s="7">
        <f>E33*I33</f>
        <v>333</v>
      </c>
    </row>
    <row r="34" spans="1:12">
      <c r="A34" s="27"/>
      <c r="B34" s="3" t="s">
        <v>23</v>
      </c>
      <c r="C34" s="4">
        <v>46253</v>
      </c>
      <c r="D34" s="37">
        <v>49</v>
      </c>
      <c r="E34" s="38"/>
      <c r="F34" s="39">
        <f>IF(E33=0,0,D34/E33)</f>
        <v>5.4444444444444446</v>
      </c>
      <c r="G34" s="28"/>
      <c r="H34" s="29"/>
      <c r="I34" s="29"/>
      <c r="J34" s="5">
        <v>1.51</v>
      </c>
      <c r="K34" s="6">
        <f>2.52/J34*I33</f>
        <v>61.748344370860927</v>
      </c>
      <c r="L34" s="7"/>
    </row>
    <row r="35" spans="1:12">
      <c r="A35" s="8" t="s">
        <v>49</v>
      </c>
      <c r="B35" s="3" t="s">
        <v>25</v>
      </c>
      <c r="C35" s="4">
        <v>46122</v>
      </c>
      <c r="D35" s="37">
        <v>1700</v>
      </c>
      <c r="E35" s="40">
        <v>9</v>
      </c>
      <c r="F35" s="39">
        <f>IF(E35=0,0,D35/E35)</f>
        <v>188.88888888888889</v>
      </c>
      <c r="G35" s="9">
        <f>IF(E35=0,0,SUMPRODUCT(F35:F35,J35:J35)/(I35*2.52))</f>
        <v>2.0180436847103516</v>
      </c>
      <c r="H35" s="10">
        <f>G35*I35*E35</f>
        <v>708.33333333333337</v>
      </c>
      <c r="I35" s="10">
        <v>39</v>
      </c>
      <c r="J35" s="5">
        <v>1.05</v>
      </c>
      <c r="K35" s="6">
        <f>2.52/J35*I35</f>
        <v>93.6</v>
      </c>
      <c r="L35" s="7">
        <f>E35*I35</f>
        <v>351</v>
      </c>
    </row>
    <row r="36" spans="1:12">
      <c r="A36" s="27" t="s">
        <v>50</v>
      </c>
      <c r="B36" s="3" t="s">
        <v>41</v>
      </c>
      <c r="C36" s="4"/>
      <c r="D36" s="37">
        <v>0</v>
      </c>
      <c r="E36" s="38">
        <v>8</v>
      </c>
      <c r="F36" s="39">
        <f>IF(E36=0,0,D36/E36)</f>
        <v>0</v>
      </c>
      <c r="G36" s="28">
        <f>IF(E36=0,0,SUMPRODUCT(F36:F37,J36:J37)/(I36*2.52))</f>
        <v>1.1220238095238098</v>
      </c>
      <c r="H36" s="29">
        <f>G36*I36*E36</f>
        <v>332.11904761904771</v>
      </c>
      <c r="I36" s="29">
        <v>37</v>
      </c>
      <c r="J36" s="5">
        <v>1.1000000000000001</v>
      </c>
      <c r="K36" s="6">
        <f>2.52/J36*I36</f>
        <v>84.763636363636351</v>
      </c>
      <c r="L36" s="7">
        <f>E36*I36</f>
        <v>296</v>
      </c>
    </row>
    <row r="37" spans="1:12">
      <c r="A37" s="27"/>
      <c r="B37" s="3" t="s">
        <v>14</v>
      </c>
      <c r="C37" s="4">
        <v>46244</v>
      </c>
      <c r="D37" s="37">
        <v>1073</v>
      </c>
      <c r="E37" s="38"/>
      <c r="F37" s="39">
        <f>IF(E36=0,0,D37/E36)</f>
        <v>134.125</v>
      </c>
      <c r="G37" s="28"/>
      <c r="H37" s="29"/>
      <c r="I37" s="29"/>
      <c r="J37" s="5">
        <v>0.78</v>
      </c>
      <c r="K37" s="6">
        <f>2.52/J37*I36</f>
        <v>119.53846153846155</v>
      </c>
      <c r="L37" s="7"/>
    </row>
    <row r="38" spans="1:12">
      <c r="A38" s="27" t="s">
        <v>51</v>
      </c>
      <c r="B38" s="3" t="s">
        <v>52</v>
      </c>
      <c r="C38" s="4"/>
      <c r="D38" s="37">
        <v>0</v>
      </c>
      <c r="E38" s="38">
        <v>8</v>
      </c>
      <c r="F38" s="39">
        <f>IF(E38=0,0,D38/E38)</f>
        <v>0</v>
      </c>
      <c r="G38" s="28">
        <f>IF(E38=0,0,SUMPRODUCT(F38:F40,J38:J40)/(I38*2.52))</f>
        <v>1.4977156432748535</v>
      </c>
      <c r="H38" s="29">
        <f>G38*I38*E38</f>
        <v>455.30555555555549</v>
      </c>
      <c r="I38" s="29">
        <v>38</v>
      </c>
      <c r="J38" s="5">
        <v>0.78</v>
      </c>
      <c r="K38" s="6">
        <f>2.52/J38*I38</f>
        <v>122.76923076923077</v>
      </c>
      <c r="L38" s="7">
        <f>E38*I38</f>
        <v>304</v>
      </c>
    </row>
    <row r="39" spans="1:12">
      <c r="A39" s="27"/>
      <c r="B39" s="3" t="s">
        <v>53</v>
      </c>
      <c r="C39" s="4">
        <v>46210</v>
      </c>
      <c r="D39" s="37">
        <v>715</v>
      </c>
      <c r="E39" s="38"/>
      <c r="F39" s="39">
        <f>IF(E38=0,0,D39/E38)</f>
        <v>89.375</v>
      </c>
      <c r="G39" s="28"/>
      <c r="H39" s="29"/>
      <c r="I39" s="29"/>
      <c r="J39" s="5">
        <v>1.39</v>
      </c>
      <c r="K39" s="6">
        <f>2.52/J39*I38</f>
        <v>68.892086330935257</v>
      </c>
      <c r="L39" s="7"/>
    </row>
    <row r="40" spans="1:12">
      <c r="A40" s="27"/>
      <c r="B40" s="3" t="s">
        <v>53</v>
      </c>
      <c r="C40" s="4">
        <v>46210</v>
      </c>
      <c r="D40" s="37">
        <v>101</v>
      </c>
      <c r="E40" s="38"/>
      <c r="F40" s="39">
        <f>IF(E38=0,0,D40/E38)</f>
        <v>12.625</v>
      </c>
      <c r="G40" s="28"/>
      <c r="H40" s="29"/>
      <c r="I40" s="29"/>
      <c r="J40" s="5">
        <v>1.52</v>
      </c>
      <c r="K40" s="6">
        <f>2.52/J40*I38</f>
        <v>63</v>
      </c>
      <c r="L40" s="7"/>
    </row>
    <row r="41" spans="1:12">
      <c r="A41" s="27" t="s">
        <v>54</v>
      </c>
      <c r="B41" s="3" t="s">
        <v>45</v>
      </c>
      <c r="C41" s="4">
        <v>46227</v>
      </c>
      <c r="D41" s="37">
        <v>972</v>
      </c>
      <c r="E41" s="38">
        <v>8</v>
      </c>
      <c r="F41" s="39">
        <f>IF(E41=0,0,D41/E41)</f>
        <v>121.5</v>
      </c>
      <c r="G41" s="28">
        <f>IF(E41=0,0,SUMPRODUCT(F41:F42,J41:J42)/(I41*2.52))</f>
        <v>1.1591478696741855</v>
      </c>
      <c r="H41" s="29">
        <f>G41*I41*E41</f>
        <v>352.38095238095241</v>
      </c>
      <c r="I41" s="29">
        <v>38</v>
      </c>
      <c r="J41" s="5">
        <v>0.9</v>
      </c>
      <c r="K41" s="6">
        <f>2.52/J41*I41</f>
        <v>106.39999999999999</v>
      </c>
      <c r="L41" s="7">
        <f>E41*I41</f>
        <v>304</v>
      </c>
    </row>
    <row r="42" spans="1:12">
      <c r="A42" s="27"/>
      <c r="B42" s="3" t="s">
        <v>39</v>
      </c>
      <c r="C42" s="4">
        <v>46266</v>
      </c>
      <c r="D42" s="37">
        <v>24</v>
      </c>
      <c r="E42" s="38"/>
      <c r="F42" s="39">
        <f>IF(E41=0,0,D42/E41)</f>
        <v>3</v>
      </c>
      <c r="G42" s="28"/>
      <c r="H42" s="29"/>
      <c r="I42" s="29"/>
      <c r="J42" s="5">
        <v>0.55000000000000004</v>
      </c>
      <c r="K42" s="6">
        <f>2.52/J42*I41</f>
        <v>174.1090909090909</v>
      </c>
      <c r="L42" s="7"/>
    </row>
    <row r="43" spans="1:12">
      <c r="A43" s="8" t="s">
        <v>55</v>
      </c>
      <c r="B43" s="3" t="s">
        <v>56</v>
      </c>
      <c r="C43" s="4">
        <v>46255</v>
      </c>
      <c r="D43" s="37">
        <v>923</v>
      </c>
      <c r="E43" s="40">
        <v>9</v>
      </c>
      <c r="F43" s="39">
        <f>IF(E43=0,0,D43/E43)</f>
        <v>102.55555555555556</v>
      </c>
      <c r="G43" s="9">
        <f>IF(E43=0,0,SUMPRODUCT(F43:F43,J43:J43)/(I43*2.52))</f>
        <v>1.5201395372964002</v>
      </c>
      <c r="H43" s="10">
        <f>G43*I43*E43</f>
        <v>465.16269841269849</v>
      </c>
      <c r="I43" s="10">
        <v>34</v>
      </c>
      <c r="J43" s="5">
        <v>1.27</v>
      </c>
      <c r="K43" s="6">
        <f>2.52/J43*I43</f>
        <v>67.464566929133866</v>
      </c>
      <c r="L43" s="7">
        <f>E43*I43</f>
        <v>306</v>
      </c>
    </row>
    <row r="44" spans="1:12">
      <c r="A44" s="21" t="s">
        <v>57</v>
      </c>
      <c r="B44" s="22"/>
      <c r="C44" s="23"/>
      <c r="D44" s="11">
        <f>SUM(D5:D43)</f>
        <v>32432</v>
      </c>
      <c r="E44" s="12">
        <f>SUM(E5:E43)</f>
        <v>172</v>
      </c>
      <c r="F44" s="13"/>
      <c r="G44" s="14">
        <f>SUM(H5:H43)/L44</f>
        <v>1.4427050222504767</v>
      </c>
      <c r="H44" s="11"/>
      <c r="I44" s="11">
        <f>SUM(I5:I43)</f>
        <v>732</v>
      </c>
      <c r="J44" s="11"/>
      <c r="K44" s="13"/>
      <c r="L44" s="15">
        <f>SUM(L5:L43)</f>
        <v>6292</v>
      </c>
    </row>
    <row r="45" spans="1:12" ht="13.5" thickBot="1">
      <c r="A45" s="24" t="s">
        <v>58</v>
      </c>
      <c r="B45" s="25"/>
      <c r="C45" s="26"/>
      <c r="D45" s="16">
        <f>SUMIF(A5:A44, "&lt;&gt;Summary", D5:D44)</f>
        <v>32432</v>
      </c>
      <c r="E45" s="17">
        <f>SUMIF(A5:A44, "&lt;&gt;Summary", E5:E44)</f>
        <v>172</v>
      </c>
      <c r="F45" s="18"/>
      <c r="G45" s="19">
        <f>SUMIF(A5:A44, "&lt;&gt;Summary", H5:H44)/L45</f>
        <v>1.4427050222504767</v>
      </c>
      <c r="H45" s="16"/>
      <c r="I45" s="16">
        <f>SUMIF(A5:A44, "&lt;&gt;Summary", I5:I44)</f>
        <v>732</v>
      </c>
      <c r="J45" s="16"/>
      <c r="K45" s="18"/>
      <c r="L45" s="20">
        <f>SUMIF(A5:A44, "&lt;&gt;Summary", L5:L44)</f>
        <v>6292</v>
      </c>
    </row>
    <row r="46" spans="1:12" ht="13.5" thickTop="1"/>
    <row r="47" spans="1:12">
      <c r="C47" s="36" t="s">
        <v>59</v>
      </c>
      <c r="D47" s="36">
        <f>SUM(H5:H12)/SUM(L5:L12)</f>
        <v>1.2254875283446711</v>
      </c>
    </row>
    <row r="48" spans="1:12">
      <c r="C48" s="36" t="s">
        <v>60</v>
      </c>
      <c r="D48" s="36">
        <f>SUM(H13:H27)/SUM(L13:L27)</f>
        <v>1.7666324190714435</v>
      </c>
    </row>
    <row r="49" spans="3:4">
      <c r="C49" s="36" t="s">
        <v>61</v>
      </c>
      <c r="D49" s="36">
        <f>SUM(H28:H34)/SUM(L28:L34)</f>
        <v>1.2904369412076542</v>
      </c>
    </row>
    <row r="50" spans="3:4">
      <c r="C50" s="36" t="s">
        <v>62</v>
      </c>
      <c r="D50" s="36">
        <f>SUM(H35:H43)/SUM(L35:L43)</f>
        <v>1.4819356741201712</v>
      </c>
    </row>
  </sheetData>
  <mergeCells count="6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0:A11"/>
    <mergeCell ref="E10:E11"/>
    <mergeCell ref="G10:G11"/>
    <mergeCell ref="H10:H11"/>
    <mergeCell ref="I10:I11"/>
    <mergeCell ref="A5:A7"/>
    <mergeCell ref="E5:E7"/>
    <mergeCell ref="G5:G7"/>
    <mergeCell ref="H5:H7"/>
    <mergeCell ref="I5:I7"/>
    <mergeCell ref="A19:A25"/>
    <mergeCell ref="E19:E25"/>
    <mergeCell ref="G19:G25"/>
    <mergeCell ref="H19:H25"/>
    <mergeCell ref="I19:I25"/>
    <mergeCell ref="A15:A18"/>
    <mergeCell ref="E15:E18"/>
    <mergeCell ref="G15:G18"/>
    <mergeCell ref="H15:H18"/>
    <mergeCell ref="I15:I18"/>
    <mergeCell ref="A30:A31"/>
    <mergeCell ref="E30:E31"/>
    <mergeCell ref="G30:G31"/>
    <mergeCell ref="H30:H31"/>
    <mergeCell ref="I30:I31"/>
    <mergeCell ref="A26:A27"/>
    <mergeCell ref="E26:E27"/>
    <mergeCell ref="G26:G27"/>
    <mergeCell ref="H26:H27"/>
    <mergeCell ref="I26:I27"/>
    <mergeCell ref="A36:A37"/>
    <mergeCell ref="E36:E37"/>
    <mergeCell ref="G36:G37"/>
    <mergeCell ref="H36:H37"/>
    <mergeCell ref="I36:I37"/>
    <mergeCell ref="A33:A34"/>
    <mergeCell ref="E33:E34"/>
    <mergeCell ref="G33:G34"/>
    <mergeCell ref="H33:H34"/>
    <mergeCell ref="I33:I34"/>
    <mergeCell ref="H38:H40"/>
    <mergeCell ref="I38:I40"/>
    <mergeCell ref="A41:A42"/>
    <mergeCell ref="E41:E42"/>
    <mergeCell ref="G41:G42"/>
    <mergeCell ref="H41:H42"/>
    <mergeCell ref="I41:I42"/>
    <mergeCell ref="A44:C44"/>
    <mergeCell ref="A45:C45"/>
    <mergeCell ref="A38:A40"/>
    <mergeCell ref="E38:E40"/>
    <mergeCell ref="G38:G40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2026-09-02T01:06:14Z</dcterms:created>
  <dcterms:modified xsi:type="dcterms:W3CDTF">2026-09-02T01:08:02Z</dcterms:modified>
</cp:coreProperties>
</file>