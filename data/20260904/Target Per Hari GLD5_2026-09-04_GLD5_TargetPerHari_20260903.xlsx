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3" i="1"/>
  <c r="E33"/>
  <c r="F6"/>
  <c r="F33" s="1"/>
  <c r="F7"/>
  <c r="F8"/>
  <c r="F9"/>
  <c r="F10"/>
  <c r="F11"/>
  <c r="F12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5"/>
  <c r="D40"/>
  <c r="D39"/>
  <c r="D38"/>
  <c r="D37"/>
  <c r="O35" l="1"/>
  <c r="I35" s="1"/>
  <c r="L35"/>
  <c r="G35"/>
  <c r="D35"/>
  <c r="O33"/>
  <c r="I33" s="1"/>
  <c r="L33"/>
  <c r="G33"/>
  <c r="D33"/>
  <c r="O32"/>
  <c r="K32"/>
  <c r="I32"/>
  <c r="N32"/>
  <c r="H32"/>
  <c r="O31"/>
  <c r="K31"/>
  <c r="I31"/>
  <c r="N31"/>
  <c r="H31"/>
  <c r="O29"/>
  <c r="K29"/>
  <c r="I29"/>
  <c r="N30"/>
  <c r="H30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2"/>
  <c r="K22"/>
  <c r="I22"/>
  <c r="N23"/>
  <c r="H23"/>
  <c r="N22"/>
  <c r="H22"/>
  <c r="O21"/>
  <c r="K21"/>
  <c r="I21"/>
  <c r="N21"/>
  <c r="H21"/>
  <c r="O19"/>
  <c r="K19"/>
  <c r="I19"/>
  <c r="N20"/>
  <c r="H20"/>
  <c r="N19"/>
  <c r="H19"/>
  <c r="O18"/>
  <c r="K18"/>
  <c r="I18"/>
  <c r="N18"/>
  <c r="H18"/>
  <c r="O17"/>
  <c r="K17"/>
  <c r="I17"/>
  <c r="N17"/>
  <c r="H17"/>
  <c r="O15"/>
  <c r="K15"/>
  <c r="I15"/>
  <c r="N16"/>
  <c r="H16"/>
  <c r="N15"/>
  <c r="H15"/>
  <c r="O13"/>
  <c r="K13"/>
  <c r="I13"/>
  <c r="N14"/>
  <c r="H14"/>
  <c r="N13"/>
  <c r="H13"/>
  <c r="O12"/>
  <c r="K12"/>
  <c r="I12"/>
  <c r="N12"/>
  <c r="H12"/>
  <c r="O11"/>
  <c r="K11"/>
  <c r="I11"/>
  <c r="N11"/>
  <c r="H11"/>
  <c r="O10"/>
  <c r="K10"/>
  <c r="I10"/>
  <c r="N10"/>
  <c r="H10"/>
  <c r="O9"/>
  <c r="K9"/>
  <c r="I9"/>
  <c r="N9"/>
  <c r="H9"/>
  <c r="O5"/>
  <c r="K5"/>
  <c r="I5"/>
  <c r="N8"/>
  <c r="H8"/>
  <c r="N7"/>
  <c r="H7"/>
  <c r="N6"/>
  <c r="H6"/>
  <c r="N5"/>
  <c r="H5"/>
</calcChain>
</file>

<file path=xl/sharedStrings.xml><?xml version="1.0" encoding="utf-8"?>
<sst xmlns="http://schemas.openxmlformats.org/spreadsheetml/2006/main" count="70" uniqueCount="60">
  <si>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</si>
  <si>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</si>
  <si>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</si>
  <si>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</si>
  <si>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</si>
  <si>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</si>
  <si>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</si>
  <si>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</si>
  <si>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</si>
  <si>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</si>
  <si>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</si>
  <si>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</si>
  <si>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</si>
  <si>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</si>
  <si>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</si>
  <si>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DAB14127_Q426</t>
  </si>
  <si>
    <t>MX6FJ409_HO26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</si>
  <si>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</si>
  <si>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</si>
  <si>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</si>
  <si>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</si>
  <si>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</si>
  <si>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</si>
  <si>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</si>
  <si>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</si>
  <si>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</si>
  <si>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</si>
  <si>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</si>
  <si>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LK881_FA26</t>
  </si>
  <si>
    <t>5-08</t>
  </si>
  <si>
    <t>319260003</t>
  </si>
  <si>
    <t>5-09</t>
  </si>
  <si>
    <t>ST841_FA26</t>
  </si>
  <si>
    <t>5-10</t>
  </si>
  <si>
    <t>ZS5FR410_FA26</t>
  </si>
  <si>
    <t>1KM1XY_C127</t>
  </si>
  <si>
    <t>5-11</t>
  </si>
  <si>
    <t>5-12</t>
  </si>
  <si>
    <t>K864_FA26</t>
  </si>
  <si>
    <t>K864_SP26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</si>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</sst>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tabSelected="1" workbookViewId="0">
      <pane ySplit="4" topLeftCell="A5" activePane="bottomLeft" state="frozen"/>
      <selection pane="bottomLeft" activeCell="B7" sqref="B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3.425781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46268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57</v>
      </c>
      <c r="F3" s="43" t="s">
        <v>58</v>
      </c>
      <c r="G3" s="35" t="s">
        <v>5</v>
      </c>
      <c r="H3" s="35" t="s">
        <v>6</v>
      </c>
      <c r="I3" s="35" t="s">
        <v>7</v>
      </c>
      <c r="J3" s="43" t="s">
        <v>59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/>
      <c r="D5" s="5">
        <v>0</v>
      </c>
      <c r="E5" s="5">
        <v>0</v>
      </c>
      <c r="F5" s="47">
        <f>D5-E5</f>
        <v>0</v>
      </c>
      <c r="G5" s="32">
        <v>8</v>
      </c>
      <c r="H5" s="6">
        <f>IF(G5=0,0,D5/G5)</f>
        <v>0</v>
      </c>
      <c r="I5" s="33">
        <f>IF(G5=0,0,SUMPRODUCT(H5:H8,M5:M8)/(L5*2.52))</f>
        <v>0.44264800514800517</v>
      </c>
      <c r="J5" s="50">
        <v>1.25</v>
      </c>
      <c r="K5" s="34">
        <f>I5*L5*G5</f>
        <v>131.02380952380952</v>
      </c>
      <c r="L5" s="34">
        <v>37</v>
      </c>
      <c r="M5" s="5">
        <v>0.8</v>
      </c>
      <c r="N5" s="6">
        <f>2.52/M5*L5</f>
        <v>116.55</v>
      </c>
      <c r="O5" s="7">
        <f>G5*L5</f>
        <v>296</v>
      </c>
    </row>
    <row r="6" spans="1:15">
      <c r="A6" s="31"/>
      <c r="B6" s="3" t="s">
        <v>15</v>
      </c>
      <c r="C6" s="4">
        <v>46192</v>
      </c>
      <c r="D6" s="5">
        <v>14</v>
      </c>
      <c r="E6" s="5">
        <v>21</v>
      </c>
      <c r="F6" s="47">
        <f t="shared" ref="F6:F32" si="0">D6-E6</f>
        <v>-7</v>
      </c>
      <c r="G6" s="32"/>
      <c r="H6" s="6">
        <f>IF(G5=0,0,D6/G5)</f>
        <v>1.75</v>
      </c>
      <c r="I6" s="33"/>
      <c r="J6" s="51"/>
      <c r="K6" s="34"/>
      <c r="L6" s="34"/>
      <c r="M6" s="5">
        <v>0.8</v>
      </c>
      <c r="N6" s="6">
        <f>2.52/M6*L5</f>
        <v>116.55</v>
      </c>
      <c r="O6" s="7"/>
    </row>
    <row r="7" spans="1:15">
      <c r="A7" s="31"/>
      <c r="B7" s="3" t="s">
        <v>16</v>
      </c>
      <c r="C7" s="4">
        <v>46220</v>
      </c>
      <c r="D7" s="5">
        <v>8</v>
      </c>
      <c r="E7" s="5">
        <v>8</v>
      </c>
      <c r="F7" s="47">
        <f t="shared" si="0"/>
        <v>0</v>
      </c>
      <c r="G7" s="32"/>
      <c r="H7" s="6">
        <f>IF(G5=0,0,D7/G5)</f>
        <v>1</v>
      </c>
      <c r="I7" s="33"/>
      <c r="J7" s="51"/>
      <c r="K7" s="34"/>
      <c r="L7" s="34"/>
      <c r="M7" s="5">
        <v>1.81</v>
      </c>
      <c r="N7" s="6">
        <f>2.52/M7*L5</f>
        <v>51.513812154696133</v>
      </c>
      <c r="O7" s="7"/>
    </row>
    <row r="8" spans="1:15">
      <c r="A8" s="31"/>
      <c r="B8" s="3" t="s">
        <v>17</v>
      </c>
      <c r="C8" s="4">
        <v>46238</v>
      </c>
      <c r="D8" s="5">
        <v>350</v>
      </c>
      <c r="E8" s="5">
        <v>350</v>
      </c>
      <c r="F8" s="47">
        <f t="shared" si="0"/>
        <v>0</v>
      </c>
      <c r="G8" s="32"/>
      <c r="H8" s="6">
        <f>IF(G5=0,0,D8/G5)</f>
        <v>43.75</v>
      </c>
      <c r="I8" s="33"/>
      <c r="J8" s="52"/>
      <c r="K8" s="34"/>
      <c r="L8" s="34"/>
      <c r="M8" s="5">
        <v>0.87</v>
      </c>
      <c r="N8" s="6">
        <f>2.52/M8*L5</f>
        <v>107.17241379310344</v>
      </c>
      <c r="O8" s="7"/>
    </row>
    <row r="9" spans="1:15">
      <c r="A9" s="8" t="s">
        <v>18</v>
      </c>
      <c r="B9" s="3" t="s">
        <v>17</v>
      </c>
      <c r="C9" s="4">
        <v>46198</v>
      </c>
      <c r="D9" s="5">
        <v>1614</v>
      </c>
      <c r="E9" s="5">
        <v>1614</v>
      </c>
      <c r="F9" s="47">
        <f t="shared" si="0"/>
        <v>0</v>
      </c>
      <c r="G9" s="9">
        <v>9</v>
      </c>
      <c r="H9" s="6">
        <f>IF(G9=0,0,D9/G9)</f>
        <v>179.33333333333334</v>
      </c>
      <c r="I9" s="10">
        <f>IF(G9=0,0,SUMPRODUCT(H9:H9,M9:M9)/(L9*2.52))</f>
        <v>1.8761423761423763</v>
      </c>
      <c r="J9" s="10">
        <v>1.85</v>
      </c>
      <c r="K9" s="11">
        <f>I9*L9*G9</f>
        <v>557.21428571428578</v>
      </c>
      <c r="L9" s="11">
        <v>33</v>
      </c>
      <c r="M9" s="5">
        <v>0.87</v>
      </c>
      <c r="N9" s="6">
        <f>2.52/M9*L9</f>
        <v>95.58620689655173</v>
      </c>
      <c r="O9" s="7">
        <f>G9*L9</f>
        <v>297</v>
      </c>
    </row>
    <row r="10" spans="1:15">
      <c r="A10" s="8" t="s">
        <v>19</v>
      </c>
      <c r="B10" s="3" t="s">
        <v>20</v>
      </c>
      <c r="C10" s="4">
        <v>46245</v>
      </c>
      <c r="D10" s="5">
        <v>862</v>
      </c>
      <c r="E10" s="5">
        <v>850</v>
      </c>
      <c r="F10" s="47">
        <f t="shared" si="0"/>
        <v>12</v>
      </c>
      <c r="G10" s="9">
        <v>9</v>
      </c>
      <c r="H10" s="6">
        <f>IF(G10=0,0,D10/G10)</f>
        <v>95.777777777777771</v>
      </c>
      <c r="I10" s="10">
        <f>IF(G10=0,0,SUMPRODUCT(H10:H10,M10:M10)/(L10*2.52))</f>
        <v>1.6846370179703511</v>
      </c>
      <c r="J10" s="10">
        <v>1.6</v>
      </c>
      <c r="K10" s="11">
        <f>I10*L10*G10</f>
        <v>560.98412698412699</v>
      </c>
      <c r="L10" s="11">
        <v>37</v>
      </c>
      <c r="M10" s="5">
        <v>1.64</v>
      </c>
      <c r="N10" s="6">
        <f>2.52/M10*L10</f>
        <v>56.853658536585364</v>
      </c>
      <c r="O10" s="7">
        <f>G10*L10</f>
        <v>333</v>
      </c>
    </row>
    <row r="11" spans="1:15">
      <c r="A11" s="8" t="s">
        <v>21</v>
      </c>
      <c r="B11" s="3" t="s">
        <v>22</v>
      </c>
      <c r="C11" s="4">
        <v>46265</v>
      </c>
      <c r="D11" s="5">
        <v>825</v>
      </c>
      <c r="E11" s="5">
        <v>825</v>
      </c>
      <c r="F11" s="47">
        <f t="shared" si="0"/>
        <v>0</v>
      </c>
      <c r="G11" s="9">
        <v>9</v>
      </c>
      <c r="H11" s="6">
        <f>IF(G11=0,0,D11/G11)</f>
        <v>91.666666666666671</v>
      </c>
      <c r="I11" s="10">
        <f>IF(G11=0,0,SUMPRODUCT(H11:H11,M11:M11)/(L11*2.52))</f>
        <v>0.9041950113378685</v>
      </c>
      <c r="J11" s="10">
        <v>0.9</v>
      </c>
      <c r="K11" s="11">
        <f>I11*L11*G11</f>
        <v>284.82142857142861</v>
      </c>
      <c r="L11" s="11">
        <v>35</v>
      </c>
      <c r="M11" s="5">
        <v>0.87</v>
      </c>
      <c r="N11" s="6">
        <f>2.52/M11*L11</f>
        <v>101.37931034482759</v>
      </c>
      <c r="O11" s="7">
        <f>G11*L11</f>
        <v>315</v>
      </c>
    </row>
    <row r="12" spans="1:15">
      <c r="A12" s="8" t="s">
        <v>23</v>
      </c>
      <c r="B12" s="3" t="s">
        <v>24</v>
      </c>
      <c r="C12" s="4">
        <v>46213</v>
      </c>
      <c r="D12" s="5">
        <v>800</v>
      </c>
      <c r="E12" s="5">
        <v>800</v>
      </c>
      <c r="F12" s="47">
        <f t="shared" si="0"/>
        <v>0</v>
      </c>
      <c r="G12" s="9">
        <v>9</v>
      </c>
      <c r="H12" s="6">
        <f>IF(G12=0,0,D12/G12)</f>
        <v>88.888888888888886</v>
      </c>
      <c r="I12" s="10">
        <f>IF(G12=0,0,SUMPRODUCT(H12:H12,M12:M12)/(L12*2.52))</f>
        <v>2.0078686745353411</v>
      </c>
      <c r="J12" s="10">
        <v>2.1</v>
      </c>
      <c r="K12" s="11">
        <f>I12*L12*G12</f>
        <v>704.7619047619047</v>
      </c>
      <c r="L12" s="11">
        <v>39</v>
      </c>
      <c r="M12" s="5">
        <v>2.2200000000000002</v>
      </c>
      <c r="N12" s="6">
        <f>2.52/M12*L12</f>
        <v>44.270270270270267</v>
      </c>
      <c r="O12" s="7">
        <f>G12*L12</f>
        <v>351</v>
      </c>
    </row>
    <row r="13" spans="1:15">
      <c r="A13" s="31" t="s">
        <v>25</v>
      </c>
      <c r="B13" s="3" t="s">
        <v>24</v>
      </c>
      <c r="C13" s="4">
        <v>46207</v>
      </c>
      <c r="D13" s="5">
        <v>701</v>
      </c>
      <c r="E13" s="45">
        <v>795</v>
      </c>
      <c r="F13" s="48">
        <f>D13+D14-E13</f>
        <v>10</v>
      </c>
      <c r="G13" s="32">
        <v>9</v>
      </c>
      <c r="H13" s="6">
        <f>IF(G13=0,0,D13/G13)</f>
        <v>77.888888888888886</v>
      </c>
      <c r="I13" s="33">
        <f>IF(G13=0,0,SUMPRODUCT(H13:H14,M13:M14)/(L13*2.52))</f>
        <v>2.1395443062109734</v>
      </c>
      <c r="J13" s="50">
        <v>2.1</v>
      </c>
      <c r="K13" s="34">
        <f>I13*L13*G13</f>
        <v>712.46825396825409</v>
      </c>
      <c r="L13" s="34">
        <v>37</v>
      </c>
      <c r="M13" s="5">
        <v>2.2200000000000002</v>
      </c>
      <c r="N13" s="6">
        <f>2.52/M13*L13</f>
        <v>42</v>
      </c>
      <c r="O13" s="7">
        <f>G13*L13</f>
        <v>333</v>
      </c>
    </row>
    <row r="14" spans="1:15">
      <c r="A14" s="31"/>
      <c r="B14" s="3" t="s">
        <v>24</v>
      </c>
      <c r="C14" s="4">
        <v>46207</v>
      </c>
      <c r="D14" s="5">
        <v>104</v>
      </c>
      <c r="E14" s="46"/>
      <c r="F14" s="49"/>
      <c r="G14" s="32"/>
      <c r="H14" s="6">
        <f>IF(G13=0,0,D14/G13)</f>
        <v>11.555555555555555</v>
      </c>
      <c r="I14" s="33"/>
      <c r="J14" s="52"/>
      <c r="K14" s="34"/>
      <c r="L14" s="34"/>
      <c r="M14" s="5">
        <v>2.2999999999999998</v>
      </c>
      <c r="N14" s="6">
        <f>2.52/M14*L13</f>
        <v>40.539130434782614</v>
      </c>
      <c r="O14" s="7"/>
    </row>
    <row r="15" spans="1:15">
      <c r="A15" s="31" t="s">
        <v>26</v>
      </c>
      <c r="B15" s="3" t="s">
        <v>27</v>
      </c>
      <c r="C15" s="4"/>
      <c r="D15" s="5">
        <v>0</v>
      </c>
      <c r="E15" s="5">
        <v>0</v>
      </c>
      <c r="F15" s="47">
        <f t="shared" si="0"/>
        <v>0</v>
      </c>
      <c r="G15" s="32">
        <v>8</v>
      </c>
      <c r="H15" s="6">
        <f>IF(G15=0,0,D15/G15)</f>
        <v>0</v>
      </c>
      <c r="I15" s="33">
        <f>IF(G15=0,0,SUMPRODUCT(H15:H16,M15:M16)/(L15*2.52))</f>
        <v>1.50503663003663</v>
      </c>
      <c r="J15" s="50">
        <v>1.2</v>
      </c>
      <c r="K15" s="34">
        <f>I15*L15*G15</f>
        <v>469.57142857142856</v>
      </c>
      <c r="L15" s="34">
        <v>39</v>
      </c>
      <c r="M15" s="5">
        <v>0.81</v>
      </c>
      <c r="N15" s="6">
        <f>2.52/M15*L15</f>
        <v>121.33333333333331</v>
      </c>
      <c r="O15" s="7">
        <f>G15*L15</f>
        <v>312</v>
      </c>
    </row>
    <row r="16" spans="1:15">
      <c r="A16" s="31"/>
      <c r="B16" s="3" t="s">
        <v>28</v>
      </c>
      <c r="C16" s="4">
        <v>46237</v>
      </c>
      <c r="D16" s="5">
        <v>684</v>
      </c>
      <c r="E16" s="5">
        <v>684</v>
      </c>
      <c r="F16" s="47">
        <f t="shared" si="0"/>
        <v>0</v>
      </c>
      <c r="G16" s="32"/>
      <c r="H16" s="6">
        <f>IF(G15=0,0,D16/G15)</f>
        <v>85.5</v>
      </c>
      <c r="I16" s="33"/>
      <c r="J16" s="52"/>
      <c r="K16" s="34"/>
      <c r="L16" s="34"/>
      <c r="M16" s="5">
        <v>1.73</v>
      </c>
      <c r="N16" s="6">
        <f>2.52/M16*L15</f>
        <v>56.809248554913296</v>
      </c>
      <c r="O16" s="7"/>
    </row>
    <row r="17" spans="1:15">
      <c r="A17" s="8" t="s">
        <v>29</v>
      </c>
      <c r="B17" s="3" t="s">
        <v>30</v>
      </c>
      <c r="C17" s="4">
        <v>46219</v>
      </c>
      <c r="D17" s="5">
        <v>1006</v>
      </c>
      <c r="E17" s="5">
        <v>1008</v>
      </c>
      <c r="F17" s="47">
        <f t="shared" si="0"/>
        <v>-2</v>
      </c>
      <c r="G17" s="9">
        <v>9</v>
      </c>
      <c r="H17" s="6">
        <f>IF(G17=0,0,D17/G17)</f>
        <v>111.77777777777777</v>
      </c>
      <c r="I17" s="10">
        <f>IF(G17=0,0,SUMPRODUCT(H17:H17,M17:M17)/(L17*2.52))</f>
        <v>1.0473006074857927</v>
      </c>
      <c r="J17" s="10">
        <v>1</v>
      </c>
      <c r="K17" s="11">
        <f>I17*L17*G17</f>
        <v>339.32539682539687</v>
      </c>
      <c r="L17" s="11">
        <v>36</v>
      </c>
      <c r="M17" s="5">
        <v>0.85</v>
      </c>
      <c r="N17" s="6">
        <f>2.52/M17*L17</f>
        <v>106.72941176470589</v>
      </c>
      <c r="O17" s="7">
        <f>G17*L17</f>
        <v>324</v>
      </c>
    </row>
    <row r="18" spans="1:15">
      <c r="A18" s="8" t="s">
        <v>31</v>
      </c>
      <c r="B18" s="3" t="s">
        <v>32</v>
      </c>
      <c r="C18" s="4">
        <v>46240</v>
      </c>
      <c r="D18" s="5">
        <v>650</v>
      </c>
      <c r="E18" s="5">
        <v>650</v>
      </c>
      <c r="F18" s="47">
        <f t="shared" si="0"/>
        <v>0</v>
      </c>
      <c r="G18" s="9">
        <v>9</v>
      </c>
      <c r="H18" s="6">
        <f>IF(G18=0,0,D18/G18)</f>
        <v>72.222222222222229</v>
      </c>
      <c r="I18" s="10">
        <f>IF(G18=0,0,SUMPRODUCT(H18:H18,M18:M18)/(L18*2.52))</f>
        <v>1.3123085491506543</v>
      </c>
      <c r="J18" s="10">
        <v>1.35</v>
      </c>
      <c r="K18" s="11">
        <f>I18*L18*G18</f>
        <v>448.8095238095238</v>
      </c>
      <c r="L18" s="11">
        <v>38</v>
      </c>
      <c r="M18" s="5">
        <v>1.74</v>
      </c>
      <c r="N18" s="6">
        <f>2.52/M18*L18</f>
        <v>55.03448275862069</v>
      </c>
      <c r="O18" s="7">
        <f>G18*L18</f>
        <v>342</v>
      </c>
    </row>
    <row r="19" spans="1:15">
      <c r="A19" s="31" t="s">
        <v>33</v>
      </c>
      <c r="B19" s="3" t="s">
        <v>34</v>
      </c>
      <c r="C19" s="4">
        <v>46157</v>
      </c>
      <c r="D19" s="5">
        <v>13</v>
      </c>
      <c r="E19" s="5">
        <v>13</v>
      </c>
      <c r="F19" s="47">
        <f t="shared" si="0"/>
        <v>0</v>
      </c>
      <c r="G19" s="32">
        <v>8</v>
      </c>
      <c r="H19" s="6">
        <f>IF(G19=0,0,D19/G19)</f>
        <v>1.625</v>
      </c>
      <c r="I19" s="33">
        <f>IF(G19=0,0,SUMPRODUCT(H19:H20,M19:M20)/(L19*2.52))</f>
        <v>0.17002865961199293</v>
      </c>
      <c r="J19" s="50">
        <v>0.8</v>
      </c>
      <c r="K19" s="34">
        <f>I19*L19*G19</f>
        <v>48.968253968253961</v>
      </c>
      <c r="L19" s="34">
        <v>36</v>
      </c>
      <c r="M19" s="5">
        <v>1.2</v>
      </c>
      <c r="N19" s="6">
        <f>2.52/M19*L19</f>
        <v>75.600000000000009</v>
      </c>
      <c r="O19" s="7">
        <f>G19*L19</f>
        <v>288</v>
      </c>
    </row>
    <row r="20" spans="1:15">
      <c r="A20" s="31"/>
      <c r="B20" s="3" t="s">
        <v>35</v>
      </c>
      <c r="C20" s="4">
        <v>46267</v>
      </c>
      <c r="D20" s="5">
        <v>140</v>
      </c>
      <c r="E20" s="5">
        <v>140</v>
      </c>
      <c r="F20" s="47">
        <f t="shared" si="0"/>
        <v>0</v>
      </c>
      <c r="G20" s="32"/>
      <c r="H20" s="6">
        <f>IF(G19=0,0,D20/G19)</f>
        <v>17.5</v>
      </c>
      <c r="I20" s="33"/>
      <c r="J20" s="52"/>
      <c r="K20" s="34"/>
      <c r="L20" s="34"/>
      <c r="M20" s="5">
        <v>0.77</v>
      </c>
      <c r="N20" s="6">
        <f>2.52/M20*L19</f>
        <v>117.81818181818181</v>
      </c>
      <c r="O20" s="7"/>
    </row>
    <row r="21" spans="1:15">
      <c r="A21" s="8" t="s">
        <v>36</v>
      </c>
      <c r="B21" s="3" t="s">
        <v>24</v>
      </c>
      <c r="C21" s="4">
        <v>46262</v>
      </c>
      <c r="D21" s="5">
        <v>900</v>
      </c>
      <c r="E21" s="5">
        <v>900</v>
      </c>
      <c r="F21" s="47">
        <f t="shared" si="0"/>
        <v>0</v>
      </c>
      <c r="G21" s="9">
        <v>9</v>
      </c>
      <c r="H21" s="6">
        <f>IF(G21=0,0,D21/G21)</f>
        <v>100</v>
      </c>
      <c r="I21" s="10">
        <f>IF(G21=0,0,SUMPRODUCT(H21:H21,M21:M21)/(L21*2.52))</f>
        <v>2.318295739348371</v>
      </c>
      <c r="J21" s="10">
        <v>2.2999999999999998</v>
      </c>
      <c r="K21" s="11">
        <f>I21*L21*G21</f>
        <v>792.85714285714289</v>
      </c>
      <c r="L21" s="11">
        <v>38</v>
      </c>
      <c r="M21" s="5">
        <v>2.2200000000000002</v>
      </c>
      <c r="N21" s="6">
        <f>2.52/M21*L21</f>
        <v>43.13513513513513</v>
      </c>
      <c r="O21" s="7">
        <f>G21*L21</f>
        <v>342</v>
      </c>
    </row>
    <row r="22" spans="1:15">
      <c r="A22" s="31" t="s">
        <v>37</v>
      </c>
      <c r="B22" s="3" t="s">
        <v>38</v>
      </c>
      <c r="C22" s="4">
        <v>46235</v>
      </c>
      <c r="D22" s="5">
        <v>1028</v>
      </c>
      <c r="E22" s="5">
        <v>1019</v>
      </c>
      <c r="F22" s="47">
        <f t="shared" si="0"/>
        <v>9</v>
      </c>
      <c r="G22" s="32">
        <v>9</v>
      </c>
      <c r="H22" s="6">
        <f>IF(G22=0,0,D22/G22)</f>
        <v>114.22222222222223</v>
      </c>
      <c r="I22" s="33">
        <f>IF(G22=0,0,SUMPRODUCT(H22:H23,M22:M23)/(L22*2.52))</f>
        <v>1.4210400877067544</v>
      </c>
      <c r="J22" s="50">
        <v>1.3</v>
      </c>
      <c r="K22" s="34">
        <f>I22*L22*G22</f>
        <v>473.20634920634922</v>
      </c>
      <c r="L22" s="34">
        <v>37</v>
      </c>
      <c r="M22" s="5">
        <v>1.1599999999999999</v>
      </c>
      <c r="N22" s="6">
        <f>2.52/M22*L22</f>
        <v>80.379310344827587</v>
      </c>
      <c r="O22" s="7">
        <f>G22*L22</f>
        <v>333</v>
      </c>
    </row>
    <row r="23" spans="1:15">
      <c r="A23" s="31"/>
      <c r="B23" s="3" t="s">
        <v>39</v>
      </c>
      <c r="C23" s="4">
        <v>46268</v>
      </c>
      <c r="D23" s="5">
        <v>0</v>
      </c>
      <c r="E23" s="5">
        <v>0</v>
      </c>
      <c r="F23" s="47">
        <f t="shared" si="0"/>
        <v>0</v>
      </c>
      <c r="G23" s="32"/>
      <c r="H23" s="6">
        <f>IF(G22=0,0,D23/G22)</f>
        <v>0</v>
      </c>
      <c r="I23" s="33"/>
      <c r="J23" s="52"/>
      <c r="K23" s="34"/>
      <c r="L23" s="34"/>
      <c r="M23" s="5">
        <v>1.1599999999999999</v>
      </c>
      <c r="N23" s="6">
        <f>2.52/M23*L22</f>
        <v>80.379310344827587</v>
      </c>
      <c r="O23" s="7"/>
    </row>
    <row r="24" spans="1:15">
      <c r="A24" s="8" t="s">
        <v>40</v>
      </c>
      <c r="B24" s="3" t="s">
        <v>22</v>
      </c>
      <c r="C24" s="4">
        <v>46255</v>
      </c>
      <c r="D24" s="5">
        <v>1153</v>
      </c>
      <c r="E24" s="5">
        <v>1153</v>
      </c>
      <c r="F24" s="47">
        <f t="shared" si="0"/>
        <v>0</v>
      </c>
      <c r="G24" s="9">
        <v>9</v>
      </c>
      <c r="H24" s="6">
        <f t="shared" ref="H24:H29" si="1">IF(G24=0,0,D24/G24)</f>
        <v>128.11111111111111</v>
      </c>
      <c r="I24" s="10">
        <f>IF(G24=0,0,SUMPRODUCT(H24:H24,M24:M24)/(L24*2.52))</f>
        <v>1.1340727174060508</v>
      </c>
      <c r="J24" s="10">
        <v>1.3</v>
      </c>
      <c r="K24" s="11">
        <f t="shared" ref="K24:K29" si="2">I24*L24*G24</f>
        <v>398.05952380952385</v>
      </c>
      <c r="L24" s="11">
        <v>39</v>
      </c>
      <c r="M24" s="5">
        <v>0.87</v>
      </c>
      <c r="N24" s="6">
        <f t="shared" ref="N24:N29" si="3">2.52/M24*L24</f>
        <v>112.96551724137932</v>
      </c>
      <c r="O24" s="7">
        <f t="shared" ref="O24:O29" si="4">G24*L24</f>
        <v>351</v>
      </c>
    </row>
    <row r="25" spans="1:15">
      <c r="A25" s="8" t="s">
        <v>41</v>
      </c>
      <c r="B25" s="3" t="s">
        <v>42</v>
      </c>
      <c r="C25" s="4">
        <v>46192</v>
      </c>
      <c r="D25" s="5">
        <v>1302</v>
      </c>
      <c r="E25" s="5">
        <v>1309</v>
      </c>
      <c r="F25" s="47">
        <f t="shared" si="0"/>
        <v>-7</v>
      </c>
      <c r="G25" s="9">
        <v>9</v>
      </c>
      <c r="H25" s="6">
        <f t="shared" si="1"/>
        <v>144.66666666666666</v>
      </c>
      <c r="I25" s="10">
        <f>IF(G25=0,0,SUMPRODUCT(H25:H25,M25:M25)/(L25*2.52))</f>
        <v>1.9859859859859859</v>
      </c>
      <c r="J25" s="10">
        <v>1.9</v>
      </c>
      <c r="K25" s="11">
        <f t="shared" si="2"/>
        <v>661.33333333333337</v>
      </c>
      <c r="L25" s="11">
        <v>37</v>
      </c>
      <c r="M25" s="5">
        <v>1.28</v>
      </c>
      <c r="N25" s="6">
        <f t="shared" si="3"/>
        <v>72.84375</v>
      </c>
      <c r="O25" s="7">
        <f t="shared" si="4"/>
        <v>333</v>
      </c>
    </row>
    <row r="26" spans="1:15">
      <c r="A26" s="8" t="s">
        <v>43</v>
      </c>
      <c r="B26" s="3" t="s">
        <v>17</v>
      </c>
      <c r="C26" s="4">
        <v>46209</v>
      </c>
      <c r="D26" s="5">
        <v>2003</v>
      </c>
      <c r="E26" s="5">
        <v>2010</v>
      </c>
      <c r="F26" s="47">
        <f t="shared" si="0"/>
        <v>-7</v>
      </c>
      <c r="G26" s="9">
        <v>9</v>
      </c>
      <c r="H26" s="6">
        <f t="shared" si="1"/>
        <v>222.55555555555554</v>
      </c>
      <c r="I26" s="10">
        <f>IF(G26=0,0,SUMPRODUCT(H26:H26,M26:M26)/(L26*2.52))</f>
        <v>2.0219646338067392</v>
      </c>
      <c r="J26" s="10">
        <v>2.0099999999999998</v>
      </c>
      <c r="K26" s="11">
        <f t="shared" si="2"/>
        <v>691.51190476190482</v>
      </c>
      <c r="L26" s="11">
        <v>38</v>
      </c>
      <c r="M26" s="5">
        <v>0.87</v>
      </c>
      <c r="N26" s="6">
        <f t="shared" si="3"/>
        <v>110.06896551724138</v>
      </c>
      <c r="O26" s="7">
        <f t="shared" si="4"/>
        <v>342</v>
      </c>
    </row>
    <row r="27" spans="1:15">
      <c r="A27" s="8" t="s">
        <v>44</v>
      </c>
      <c r="B27" s="3" t="s">
        <v>45</v>
      </c>
      <c r="C27" s="4">
        <v>46262</v>
      </c>
      <c r="D27" s="5">
        <v>886</v>
      </c>
      <c r="E27" s="5">
        <v>900</v>
      </c>
      <c r="F27" s="47">
        <f t="shared" si="0"/>
        <v>-14</v>
      </c>
      <c r="G27" s="9">
        <v>8</v>
      </c>
      <c r="H27" s="6">
        <f t="shared" si="1"/>
        <v>110.75</v>
      </c>
      <c r="I27" s="10">
        <f>IF(G27=0,0,SUMPRODUCT(H27:H27,M27:M27)/(L27*2.52))</f>
        <v>1.1402831402831404</v>
      </c>
      <c r="J27" s="10">
        <v>0.8</v>
      </c>
      <c r="K27" s="11">
        <f t="shared" si="2"/>
        <v>337.52380952380958</v>
      </c>
      <c r="L27" s="11">
        <v>37</v>
      </c>
      <c r="M27" s="5">
        <v>0.96</v>
      </c>
      <c r="N27" s="6">
        <f t="shared" si="3"/>
        <v>97.125</v>
      </c>
      <c r="O27" s="7">
        <f t="shared" si="4"/>
        <v>296</v>
      </c>
    </row>
    <row r="28" spans="1:15">
      <c r="A28" s="8" t="s">
        <v>46</v>
      </c>
      <c r="B28" s="3" t="s">
        <v>24</v>
      </c>
      <c r="C28" s="4">
        <v>46155</v>
      </c>
      <c r="D28" s="5">
        <v>753</v>
      </c>
      <c r="E28" s="5">
        <v>753</v>
      </c>
      <c r="F28" s="47">
        <f t="shared" si="0"/>
        <v>0</v>
      </c>
      <c r="G28" s="9">
        <v>9</v>
      </c>
      <c r="H28" s="6">
        <f t="shared" si="1"/>
        <v>83.666666666666671</v>
      </c>
      <c r="I28" s="10">
        <f>IF(G28=0,0,SUMPRODUCT(H28:H28,M28:M28)/(L28*2.52))</f>
        <v>1.8426587301587305</v>
      </c>
      <c r="J28" s="10">
        <v>2.1</v>
      </c>
      <c r="K28" s="11">
        <f t="shared" si="2"/>
        <v>663.35714285714289</v>
      </c>
      <c r="L28" s="11">
        <v>40</v>
      </c>
      <c r="M28" s="5">
        <v>2.2200000000000002</v>
      </c>
      <c r="N28" s="6">
        <f t="shared" si="3"/>
        <v>45.405405405405403</v>
      </c>
      <c r="O28" s="7">
        <f t="shared" si="4"/>
        <v>360</v>
      </c>
    </row>
    <row r="29" spans="1:15">
      <c r="A29" s="31" t="s">
        <v>47</v>
      </c>
      <c r="B29" s="3" t="s">
        <v>17</v>
      </c>
      <c r="C29" s="4">
        <v>46219</v>
      </c>
      <c r="D29" s="5">
        <v>314</v>
      </c>
      <c r="E29" s="5">
        <v>314</v>
      </c>
      <c r="F29" s="47">
        <f t="shared" si="0"/>
        <v>0</v>
      </c>
      <c r="G29" s="32">
        <v>8</v>
      </c>
      <c r="H29" s="6">
        <f t="shared" si="1"/>
        <v>39.25</v>
      </c>
      <c r="I29" s="33">
        <f>IF(G29=0,0,SUMPRODUCT(H29:H30,M29:M30)/(L29*2.52))</f>
        <v>0.36623230373230375</v>
      </c>
      <c r="J29" s="50">
        <v>0.5</v>
      </c>
      <c r="K29" s="34">
        <f t="shared" si="2"/>
        <v>108.40476190476191</v>
      </c>
      <c r="L29" s="34">
        <v>37</v>
      </c>
      <c r="M29" s="5">
        <v>0.87</v>
      </c>
      <c r="N29" s="6">
        <f t="shared" si="3"/>
        <v>107.17241379310344</v>
      </c>
      <c r="O29" s="7">
        <f t="shared" si="4"/>
        <v>296</v>
      </c>
    </row>
    <row r="30" spans="1:15">
      <c r="A30" s="31"/>
      <c r="B30" s="3" t="s">
        <v>27</v>
      </c>
      <c r="C30" s="4">
        <v>46268</v>
      </c>
      <c r="D30" s="5">
        <v>0</v>
      </c>
      <c r="E30" s="5">
        <v>0</v>
      </c>
      <c r="F30" s="47">
        <f t="shared" si="0"/>
        <v>0</v>
      </c>
      <c r="G30" s="32"/>
      <c r="H30" s="6">
        <f>IF(G29=0,0,D30/G29)</f>
        <v>0</v>
      </c>
      <c r="I30" s="33"/>
      <c r="J30" s="52"/>
      <c r="K30" s="34"/>
      <c r="L30" s="34"/>
      <c r="M30" s="5">
        <v>0.81</v>
      </c>
      <c r="N30" s="6">
        <f>2.52/M30*L29</f>
        <v>115.1111111111111</v>
      </c>
      <c r="O30" s="7"/>
    </row>
    <row r="31" spans="1:15">
      <c r="A31" s="8" t="s">
        <v>48</v>
      </c>
      <c r="B31" s="3" t="s">
        <v>17</v>
      </c>
      <c r="C31" s="4">
        <v>46192</v>
      </c>
      <c r="D31" s="5">
        <v>2021</v>
      </c>
      <c r="E31" s="5">
        <v>2016</v>
      </c>
      <c r="F31" s="47">
        <f t="shared" si="0"/>
        <v>5</v>
      </c>
      <c r="G31" s="9">
        <v>9</v>
      </c>
      <c r="H31" s="6">
        <f>IF(G31=0,0,D31/G31)</f>
        <v>224.55555555555554</v>
      </c>
      <c r="I31" s="10">
        <f>IF(G31=0,0,SUMPRODUCT(H31:H31,M31:M31)/(L31*2.52))</f>
        <v>1.987823904490571</v>
      </c>
      <c r="J31" s="10">
        <v>2.0299999999999998</v>
      </c>
      <c r="K31" s="11">
        <f>I31*L31*G31</f>
        <v>697.72619047619037</v>
      </c>
      <c r="L31" s="11">
        <v>39</v>
      </c>
      <c r="M31" s="5">
        <v>0.87</v>
      </c>
      <c r="N31" s="6">
        <f>2.52/M31*L31</f>
        <v>112.96551724137932</v>
      </c>
      <c r="O31" s="7">
        <f>G31*L31</f>
        <v>351</v>
      </c>
    </row>
    <row r="32" spans="1:15">
      <c r="A32" s="8" t="s">
        <v>49</v>
      </c>
      <c r="B32" s="3" t="s">
        <v>50</v>
      </c>
      <c r="C32" s="4">
        <v>46253</v>
      </c>
      <c r="D32" s="5">
        <v>1318</v>
      </c>
      <c r="E32" s="5">
        <v>1303</v>
      </c>
      <c r="F32" s="47">
        <f t="shared" si="0"/>
        <v>15</v>
      </c>
      <c r="G32" s="9">
        <v>8</v>
      </c>
      <c r="H32" s="6">
        <f>IF(G32=0,0,D32/G32)</f>
        <v>164.75</v>
      </c>
      <c r="I32" s="10">
        <f>IF(G32=0,0,SUMPRODUCT(H32:H32,M32:M32)/(L32*2.52))</f>
        <v>1.2911954365079366</v>
      </c>
      <c r="J32" s="10">
        <v>1.5</v>
      </c>
      <c r="K32" s="11">
        <f>I32*L32*G32</f>
        <v>413.1825396825397</v>
      </c>
      <c r="L32" s="11">
        <v>40</v>
      </c>
      <c r="M32" s="5">
        <v>0.79</v>
      </c>
      <c r="N32" s="6">
        <f>2.52/M32*L32</f>
        <v>127.59493670886074</v>
      </c>
      <c r="O32" s="7">
        <f>G32*L32</f>
        <v>320</v>
      </c>
    </row>
    <row r="33" spans="1:15">
      <c r="A33" s="25" t="s">
        <v>51</v>
      </c>
      <c r="B33" s="26"/>
      <c r="C33" s="27"/>
      <c r="D33" s="12">
        <f>SUM(D5:D32)</f>
        <v>19449</v>
      </c>
      <c r="E33" s="12">
        <f>SUM(E5:E32)</f>
        <v>19435</v>
      </c>
      <c r="F33" s="12">
        <f>F6+F17+F25+F26+F27</f>
        <v>-37</v>
      </c>
      <c r="G33" s="13">
        <f>SUM(G5:G32)</f>
        <v>174</v>
      </c>
      <c r="H33" s="14"/>
      <c r="I33" s="15">
        <f>SUM(K5:K32)/O33</f>
        <v>1.4574230408459108</v>
      </c>
      <c r="J33" s="15"/>
      <c r="K33" s="12"/>
      <c r="L33" s="12">
        <f>SUM(L5:L32)</f>
        <v>749</v>
      </c>
      <c r="M33" s="12"/>
      <c r="N33" s="14"/>
      <c r="O33" s="16">
        <f>SUM(O5:O32)</f>
        <v>6515</v>
      </c>
    </row>
    <row r="34" spans="1:15">
      <c r="A34" s="17"/>
      <c r="B34" s="5"/>
      <c r="C34" s="4"/>
      <c r="D34" s="5"/>
      <c r="E34" s="5"/>
      <c r="F34" s="5"/>
      <c r="G34" s="18"/>
      <c r="H34" s="6"/>
      <c r="I34" s="19"/>
      <c r="J34" s="19"/>
      <c r="K34" s="5"/>
      <c r="L34" s="5"/>
      <c r="M34" s="5"/>
      <c r="N34" s="6"/>
      <c r="O34" s="7"/>
    </row>
    <row r="35" spans="1:15" ht="13.5" thickBot="1">
      <c r="A35" s="28" t="s">
        <v>52</v>
      </c>
      <c r="B35" s="29"/>
      <c r="C35" s="30"/>
      <c r="D35" s="20">
        <f>SUMIF(A5:A34, "&lt;&gt;Summary", D5:D34)</f>
        <v>19449</v>
      </c>
      <c r="E35" s="20"/>
      <c r="F35" s="20"/>
      <c r="G35" s="21">
        <f>SUMIF(A5:A34, "&lt;&gt;Summary", G5:G34)</f>
        <v>174</v>
      </c>
      <c r="H35" s="22"/>
      <c r="I35" s="23">
        <f>SUMIF(A5:A34, "&lt;&gt;Summary", K5:K34)/O35</f>
        <v>1.4574230408459108</v>
      </c>
      <c r="J35" s="23"/>
      <c r="K35" s="20"/>
      <c r="L35" s="20">
        <f>SUMIF(A5:A34, "&lt;&gt;Summary", L5:L34)</f>
        <v>749</v>
      </c>
      <c r="M35" s="20"/>
      <c r="N35" s="22"/>
      <c r="O35" s="24">
        <f>SUMIF(A5:A34, "&lt;&gt;Summary", O5:O34)</f>
        <v>6515</v>
      </c>
    </row>
    <row r="36" spans="1:15" ht="13.5" thickTop="1"/>
    <row r="37" spans="1:15">
      <c r="C37" s="41" t="s">
        <v>53</v>
      </c>
      <c r="D37" s="42">
        <f>SUM(K5:K12)/SUM(O5:O12)</f>
        <v>1.4062848967057511</v>
      </c>
      <c r="E37" s="42"/>
      <c r="F37" s="42"/>
    </row>
    <row r="38" spans="1:15">
      <c r="C38" s="41" t="s">
        <v>54</v>
      </c>
      <c r="D38" s="42">
        <f>SUM(K13:K20)/SUM(O13:O20)</f>
        <v>1.2627535066559459</v>
      </c>
      <c r="E38" s="42"/>
      <c r="F38" s="42"/>
    </row>
    <row r="39" spans="1:15">
      <c r="C39" s="41" t="s">
        <v>55</v>
      </c>
      <c r="D39" s="42">
        <f>SUM(K21:K26)/SUM(O21:O26)</f>
        <v>1.7736438882823364</v>
      </c>
      <c r="E39" s="42"/>
      <c r="F39" s="42"/>
    </row>
    <row r="40" spans="1:15">
      <c r="C40" s="41" t="s">
        <v>56</v>
      </c>
      <c r="D40" s="42">
        <f>SUM(K27:K32)/SUM(O27:O32)</f>
        <v>1.3679571438351474</v>
      </c>
      <c r="E40" s="42"/>
      <c r="F40" s="42"/>
    </row>
  </sheetData>
  <mergeCells count="55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3:A14"/>
    <mergeCell ref="G13:G14"/>
    <mergeCell ref="I13:I14"/>
    <mergeCell ref="K13:K14"/>
    <mergeCell ref="L13:L14"/>
    <mergeCell ref="E13:E14"/>
    <mergeCell ref="F13:F14"/>
    <mergeCell ref="J13:J14"/>
    <mergeCell ref="A5:A8"/>
    <mergeCell ref="G5:G8"/>
    <mergeCell ref="I5:I8"/>
    <mergeCell ref="K5:K8"/>
    <mergeCell ref="L5:L8"/>
    <mergeCell ref="J5:J8"/>
    <mergeCell ref="A19:A20"/>
    <mergeCell ref="G19:G20"/>
    <mergeCell ref="I19:I20"/>
    <mergeCell ref="K19:K20"/>
    <mergeCell ref="L19:L20"/>
    <mergeCell ref="J19:J20"/>
    <mergeCell ref="A15:A16"/>
    <mergeCell ref="G15:G16"/>
    <mergeCell ref="I15:I16"/>
    <mergeCell ref="K15:K16"/>
    <mergeCell ref="L15:L16"/>
    <mergeCell ref="J15:J16"/>
    <mergeCell ref="K22:K23"/>
    <mergeCell ref="L22:L23"/>
    <mergeCell ref="A29:A30"/>
    <mergeCell ref="G29:G30"/>
    <mergeCell ref="I29:I30"/>
    <mergeCell ref="K29:K30"/>
    <mergeCell ref="L29:L30"/>
    <mergeCell ref="J22:J23"/>
    <mergeCell ref="J29:J30"/>
    <mergeCell ref="A33:C33"/>
    <mergeCell ref="A35:C35"/>
    <mergeCell ref="A22:A23"/>
    <mergeCell ref="G22:G23"/>
    <mergeCell ref="I22:I23"/>
  </mergeCells>
  <printOptions horizontalCentered="1"/>
  <pageMargins left="0.2" right="0.2" top="1" bottom="0.2" header="0.2" footer="0.2"/>
  <pageSetup paperSize="9" scale="74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2026-09-04T00:47:35Z</cp:lastPrinted>
  <dcterms:created xsi:type="dcterms:W3CDTF">2026-09-04T00:34:18Z</dcterms:created>
  <dcterms:modified xsi:type="dcterms:W3CDTF">2026-09-04T00:59:38Z</dcterms:modified>
</cp:coreProperties>
</file>