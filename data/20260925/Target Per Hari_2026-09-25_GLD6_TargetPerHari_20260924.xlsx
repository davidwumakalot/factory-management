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3" i="1"/>
  <c r="D41"/>
  <c r="I39"/>
  <c r="E39"/>
  <c r="D39"/>
  <c r="I38"/>
  <c r="E38"/>
  <c r="D38"/>
  <c r="L37"/>
  <c r="G37"/>
  <c r="H37" s="1"/>
  <c r="K37"/>
  <c r="F37"/>
  <c r="L36"/>
  <c r="G36"/>
  <c r="H36" s="1"/>
  <c r="D44" s="1"/>
  <c r="K36"/>
  <c r="F36"/>
  <c r="L34"/>
  <c r="K35"/>
  <c r="F35"/>
  <c r="K34"/>
  <c r="F34"/>
  <c r="G34" s="1"/>
  <c r="H34" s="1"/>
  <c r="L33"/>
  <c r="H33"/>
  <c r="G33"/>
  <c r="K33"/>
  <c r="F33"/>
  <c r="L32"/>
  <c r="K32"/>
  <c r="F32"/>
  <c r="G32" s="1"/>
  <c r="H32" s="1"/>
  <c r="L31"/>
  <c r="K31"/>
  <c r="F31"/>
  <c r="G31" s="1"/>
  <c r="H31" s="1"/>
  <c r="L30"/>
  <c r="G30"/>
  <c r="H30" s="1"/>
  <c r="K30"/>
  <c r="F30"/>
  <c r="L28"/>
  <c r="K29"/>
  <c r="F29"/>
  <c r="K28"/>
  <c r="F28"/>
  <c r="G28" s="1"/>
  <c r="H28" s="1"/>
  <c r="L27"/>
  <c r="G27"/>
  <c r="H27" s="1"/>
  <c r="K27"/>
  <c r="F27"/>
  <c r="L26"/>
  <c r="H26"/>
  <c r="G26"/>
  <c r="K26"/>
  <c r="F26"/>
  <c r="L23"/>
  <c r="K25"/>
  <c r="F25"/>
  <c r="K24"/>
  <c r="F24"/>
  <c r="K23"/>
  <c r="F23"/>
  <c r="G23" s="1"/>
  <c r="H23" s="1"/>
  <c r="D42" s="1"/>
  <c r="L21"/>
  <c r="K22"/>
  <c r="F22"/>
  <c r="K21"/>
  <c r="F21"/>
  <c r="G21" s="1"/>
  <c r="H21" s="1"/>
  <c r="L19"/>
  <c r="K20"/>
  <c r="F20"/>
  <c r="K19"/>
  <c r="F19"/>
  <c r="G19" s="1"/>
  <c r="H19" s="1"/>
  <c r="L18"/>
  <c r="H18"/>
  <c r="G18"/>
  <c r="K18"/>
  <c r="F18"/>
  <c r="L16"/>
  <c r="K17"/>
  <c r="F17"/>
  <c r="K16"/>
  <c r="F16"/>
  <c r="G16" s="1"/>
  <c r="H16" s="1"/>
  <c r="L11"/>
  <c r="K15"/>
  <c r="F15"/>
  <c r="K14"/>
  <c r="F14"/>
  <c r="K13"/>
  <c r="F13"/>
  <c r="K12"/>
  <c r="F12"/>
  <c r="G11" s="1"/>
  <c r="H11" s="1"/>
  <c r="K11"/>
  <c r="F11"/>
  <c r="L10"/>
  <c r="K10"/>
  <c r="F10"/>
  <c r="G10" s="1"/>
  <c r="H10" s="1"/>
  <c r="L8"/>
  <c r="K9"/>
  <c r="F9"/>
  <c r="K8"/>
  <c r="F8"/>
  <c r="G8" s="1"/>
  <c r="H8" s="1"/>
  <c r="L7"/>
  <c r="K7"/>
  <c r="F7"/>
  <c r="G7" s="1"/>
  <c r="H7" s="1"/>
  <c r="L5"/>
  <c r="L38" s="1"/>
  <c r="K6"/>
  <c r="F6"/>
  <c r="K5"/>
  <c r="F5"/>
  <c r="G5" s="1"/>
  <c r="H5" s="1"/>
  <c r="G38" l="1"/>
  <c r="L39"/>
  <c r="G39" s="1"/>
</calcChain>
</file>

<file path=xl/sharedStrings.xml><?xml version="1.0" encoding="utf-8"?>
<sst xmlns="http://schemas.openxmlformats.org/spreadsheetml/2006/main" count="72" uniqueCount="57">
  <si>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</si>
  <si>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</si>
  <si>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</si>
  <si>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</si>
  <si>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</si>
  <si>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</si>
  <si>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</si>
  <si>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</si>
  <si>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</si>
  <si>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</si>
  <si>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</si>
  <si>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</si>
  <si>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</si>
  <si>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</si>
  <si>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</si>
  <si>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</si>
  <si>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</si>
  <si>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</si>
  <si>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</si>
  <si>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</si>
  <si>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</si>
  <si>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</si>
  <si>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5GK4L2_C127/3-Jumper</t>
  </si>
  <si>
    <t>5GK4L2_C127/1-Jumper</t>
  </si>
  <si>
    <t>5GK4L2_C127/2-Jumper</t>
  </si>
  <si>
    <t>6ZE54X_C127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</si>
  <si>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</si>
  <si>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</si>
  <si>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</si>
  <si>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</si>
  <si>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</si>
  <si>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</si>
  <si>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</si>
  <si>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W9ZMM8_7PK_C426/7-Panties</t>
  </si>
  <si>
    <t>6-10</t>
  </si>
  <si>
    <t>1188289_HO26</t>
  </si>
  <si>
    <t>6-11</t>
  </si>
  <si>
    <t>6-12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</si>
  <si>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</si>
  <si>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</si>
  <si>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</si>
  <si>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</si>
  <si>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</si>
  <si>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</si>
  <si>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</si>
  <si>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</si>
  <si>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</si>
  <si>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</si>
  <si>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</si>
  <si>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</si>
  <si>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</si>
  <si>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</si>
  <si>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</si>
  <si>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</si>
  <si>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</si>
  <si>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</si>
  <si>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LJNE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</si>
</sst>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4"/>
  <sheetViews>
    <sheetView tabSelected="1" workbookViewId="0">
      <pane ySplit="4" topLeftCell="A7" activePane="bottomLeft" state="frozen"/>
      <selection pane="bottomLeft" activeCell="E26" sqref="E2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46289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46265</v>
      </c>
      <c r="D5" s="37">
        <v>815</v>
      </c>
      <c r="E5" s="38">
        <v>9</v>
      </c>
      <c r="F5" s="39">
        <f>IF(E5=0,0,D5/E5)</f>
        <v>90.555555555555557</v>
      </c>
      <c r="G5" s="25">
        <f>IF(E5=0,0,SUMPRODUCT(F5:F6,J5:J6)/(I5*2.52))</f>
        <v>1.7399749373433584</v>
      </c>
      <c r="H5" s="26">
        <f>G5*I5*E5</f>
        <v>595.07142857142856</v>
      </c>
      <c r="I5" s="26">
        <v>38</v>
      </c>
      <c r="J5" s="5">
        <v>1.62</v>
      </c>
      <c r="K5" s="6">
        <f>2.52/J5*I5</f>
        <v>59.1111111111111</v>
      </c>
      <c r="L5" s="7">
        <f>E5*I5</f>
        <v>342</v>
      </c>
    </row>
    <row r="6" spans="1:12">
      <c r="A6" s="24"/>
      <c r="B6" s="3" t="s">
        <v>14</v>
      </c>
      <c r="C6" s="4">
        <v>46265</v>
      </c>
      <c r="D6" s="37">
        <v>108</v>
      </c>
      <c r="E6" s="38"/>
      <c r="F6" s="39">
        <f>IF(E5=0,0,D6/E5)</f>
        <v>12</v>
      </c>
      <c r="G6" s="25"/>
      <c r="H6" s="26"/>
      <c r="I6" s="26"/>
      <c r="J6" s="5">
        <v>1.66</v>
      </c>
      <c r="K6" s="6">
        <f>2.52/J6*I5</f>
        <v>57.686746987951807</v>
      </c>
      <c r="L6" s="7"/>
    </row>
    <row r="7" spans="1:12">
      <c r="A7" s="8" t="s">
        <v>15</v>
      </c>
      <c r="B7" s="3" t="s">
        <v>16</v>
      </c>
      <c r="C7" s="4">
        <v>46265</v>
      </c>
      <c r="D7" s="37">
        <v>2116</v>
      </c>
      <c r="E7" s="40">
        <v>9</v>
      </c>
      <c r="F7" s="39">
        <f>IF(E7=0,0,D7/E7)</f>
        <v>235.11111111111111</v>
      </c>
      <c r="G7" s="9">
        <f>IF(E7=0,0,SUMPRODUCT(F7:F7,J7:J7)/(I7*2.52))</f>
        <v>2.0214579659024108</v>
      </c>
      <c r="H7" s="10">
        <f>G7*I7*E7</f>
        <v>654.95238095238108</v>
      </c>
      <c r="I7" s="10">
        <v>36</v>
      </c>
      <c r="J7" s="5">
        <v>0.78</v>
      </c>
      <c r="K7" s="6">
        <f>2.52/J7*I7</f>
        <v>116.30769230769231</v>
      </c>
      <c r="L7" s="7">
        <f>E7*I7</f>
        <v>324</v>
      </c>
    </row>
    <row r="8" spans="1:12">
      <c r="A8" s="24" t="s">
        <v>17</v>
      </c>
      <c r="B8" s="3" t="s">
        <v>18</v>
      </c>
      <c r="C8" s="4">
        <v>46275</v>
      </c>
      <c r="D8" s="37">
        <v>1304</v>
      </c>
      <c r="E8" s="38">
        <v>9</v>
      </c>
      <c r="F8" s="39">
        <f>IF(E8=0,0,D8/E8)</f>
        <v>144.88888888888889</v>
      </c>
      <c r="G8" s="25">
        <f>IF(E8=0,0,SUMPRODUCT(F8:F9,J8:J9)/(I8*2.52))</f>
        <v>1.5592421124828533</v>
      </c>
      <c r="H8" s="26">
        <f>G8*I8*E8</f>
        <v>505.19444444444446</v>
      </c>
      <c r="I8" s="26">
        <v>36</v>
      </c>
      <c r="J8" s="5">
        <v>0.91</v>
      </c>
      <c r="K8" s="6">
        <f>2.52/J8*I8</f>
        <v>99.692307692307693</v>
      </c>
      <c r="L8" s="7">
        <f>E8*I8</f>
        <v>324</v>
      </c>
    </row>
    <row r="9" spans="1:12">
      <c r="A9" s="24"/>
      <c r="B9" s="3" t="s">
        <v>18</v>
      </c>
      <c r="C9" s="4">
        <v>46275</v>
      </c>
      <c r="D9" s="37">
        <v>91</v>
      </c>
      <c r="E9" s="38"/>
      <c r="F9" s="39">
        <f>IF(E8=0,0,D9/E8)</f>
        <v>10.111111111111111</v>
      </c>
      <c r="G9" s="25"/>
      <c r="H9" s="26"/>
      <c r="I9" s="26"/>
      <c r="J9" s="5">
        <v>0.95</v>
      </c>
      <c r="K9" s="6">
        <f>2.52/J9*I8</f>
        <v>95.494736842105269</v>
      </c>
      <c r="L9" s="7"/>
    </row>
    <row r="10" spans="1:12">
      <c r="A10" s="8" t="s">
        <v>19</v>
      </c>
      <c r="B10" s="3" t="s">
        <v>20</v>
      </c>
      <c r="C10" s="4">
        <v>46273</v>
      </c>
      <c r="D10" s="37">
        <v>1653</v>
      </c>
      <c r="E10" s="40">
        <v>9</v>
      </c>
      <c r="F10" s="39">
        <f>IF(E10=0,0,D10/E10)</f>
        <v>183.66666666666666</v>
      </c>
      <c r="G10" s="9">
        <f>IF(E10=0,0,SUMPRODUCT(F10:F10,J10:J10)/(I10*2.52))</f>
        <v>2.0650352733686068</v>
      </c>
      <c r="H10" s="10">
        <f>G10*I10*E10</f>
        <v>669.07142857142867</v>
      </c>
      <c r="I10" s="10">
        <v>36</v>
      </c>
      <c r="J10" s="5">
        <v>1.02</v>
      </c>
      <c r="K10" s="6">
        <f>2.52/J10*I10</f>
        <v>88.941176470588232</v>
      </c>
      <c r="L10" s="7">
        <f>E10*I10</f>
        <v>324</v>
      </c>
    </row>
    <row r="11" spans="1:12">
      <c r="A11" s="24" t="s">
        <v>21</v>
      </c>
      <c r="B11" s="5" t="s">
        <v>22</v>
      </c>
      <c r="C11" s="4">
        <v>46275</v>
      </c>
      <c r="D11" s="37">
        <v>5</v>
      </c>
      <c r="E11" s="38">
        <v>8</v>
      </c>
      <c r="F11" s="39">
        <f>IF(E11=0,0,D11/E11)</f>
        <v>0.625</v>
      </c>
      <c r="G11" s="25">
        <f>IF(E11=0,0,SUMPRODUCT(F11:F15,J11:J15)/(I11*2.52))</f>
        <v>1.2059240362811792</v>
      </c>
      <c r="H11" s="26">
        <f>G11*I11*E11</f>
        <v>337.65873015873018</v>
      </c>
      <c r="I11" s="26">
        <v>35</v>
      </c>
      <c r="J11" s="5">
        <v>1.54</v>
      </c>
      <c r="K11" s="6">
        <f>2.52/J11*I11</f>
        <v>57.272727272727266</v>
      </c>
      <c r="L11" s="7">
        <f>E11*I11</f>
        <v>280</v>
      </c>
    </row>
    <row r="12" spans="1:12">
      <c r="A12" s="24"/>
      <c r="B12" s="5" t="s">
        <v>23</v>
      </c>
      <c r="C12" s="4">
        <v>46275</v>
      </c>
      <c r="D12" s="37">
        <v>21</v>
      </c>
      <c r="E12" s="38"/>
      <c r="F12" s="39">
        <f>IF(E11=0,0,D12/E11)</f>
        <v>2.625</v>
      </c>
      <c r="G12" s="25"/>
      <c r="H12" s="26"/>
      <c r="I12" s="26"/>
      <c r="J12" s="5">
        <v>1.6</v>
      </c>
      <c r="K12" s="6">
        <f>2.52/J12*I11</f>
        <v>55.125</v>
      </c>
      <c r="L12" s="7"/>
    </row>
    <row r="13" spans="1:12">
      <c r="A13" s="24"/>
      <c r="B13" s="5" t="s">
        <v>24</v>
      </c>
      <c r="C13" s="4">
        <v>46275</v>
      </c>
      <c r="D13" s="37">
        <v>25</v>
      </c>
      <c r="E13" s="38"/>
      <c r="F13" s="39">
        <f>IF(E11=0,0,D13/E11)</f>
        <v>3.125</v>
      </c>
      <c r="G13" s="25"/>
      <c r="H13" s="26"/>
      <c r="I13" s="26"/>
      <c r="J13" s="5">
        <v>1.6</v>
      </c>
      <c r="K13" s="6">
        <f>2.52/J13*I11</f>
        <v>55.125</v>
      </c>
      <c r="L13" s="7"/>
    </row>
    <row r="14" spans="1:12">
      <c r="A14" s="24"/>
      <c r="B14" s="5" t="s">
        <v>22</v>
      </c>
      <c r="C14" s="4">
        <v>46275</v>
      </c>
      <c r="D14" s="37">
        <v>22</v>
      </c>
      <c r="E14" s="38"/>
      <c r="F14" s="39">
        <f>IF(E11=0,0,D14/E11)</f>
        <v>2.75</v>
      </c>
      <c r="G14" s="25"/>
      <c r="H14" s="26"/>
      <c r="I14" s="26"/>
      <c r="J14" s="5">
        <v>1.6</v>
      </c>
      <c r="K14" s="6">
        <f>2.52/J14*I11</f>
        <v>55.125</v>
      </c>
      <c r="L14" s="7"/>
    </row>
    <row r="15" spans="1:12">
      <c r="A15" s="24"/>
      <c r="B15" s="3" t="s">
        <v>25</v>
      </c>
      <c r="C15" s="4">
        <v>46286</v>
      </c>
      <c r="D15" s="37">
        <v>432</v>
      </c>
      <c r="E15" s="38"/>
      <c r="F15" s="39">
        <f>IF(E11=0,0,D15/E11)</f>
        <v>54</v>
      </c>
      <c r="G15" s="25"/>
      <c r="H15" s="26"/>
      <c r="I15" s="26"/>
      <c r="J15" s="5">
        <v>1.7</v>
      </c>
      <c r="K15" s="6">
        <f>2.52/J15*I11</f>
        <v>51.882352941176471</v>
      </c>
      <c r="L15" s="7"/>
    </row>
    <row r="16" spans="1:12">
      <c r="A16" s="24" t="s">
        <v>26</v>
      </c>
      <c r="B16" s="3" t="s">
        <v>27</v>
      </c>
      <c r="C16" s="4">
        <v>46122</v>
      </c>
      <c r="D16" s="37">
        <v>1477</v>
      </c>
      <c r="E16" s="38">
        <v>9</v>
      </c>
      <c r="F16" s="39">
        <f>IF(E16=0,0,D16/E16)</f>
        <v>164.11111111111111</v>
      </c>
      <c r="G16" s="25">
        <f>IF(E16=0,0,SUMPRODUCT(F16:F17,J16:J17)/(I16*2.52))</f>
        <v>2.1170033670033672</v>
      </c>
      <c r="H16" s="26">
        <f>G16*I16*E16</f>
        <v>628.75</v>
      </c>
      <c r="I16" s="26">
        <v>33</v>
      </c>
      <c r="J16" s="5">
        <v>1.05</v>
      </c>
      <c r="K16" s="6">
        <f>2.52/J16*I16</f>
        <v>79.2</v>
      </c>
      <c r="L16" s="7">
        <f>E16*I16</f>
        <v>297</v>
      </c>
    </row>
    <row r="17" spans="1:12">
      <c r="A17" s="24"/>
      <c r="B17" s="3" t="s">
        <v>28</v>
      </c>
      <c r="C17" s="4">
        <v>46272</v>
      </c>
      <c r="D17" s="37">
        <v>32</v>
      </c>
      <c r="E17" s="38"/>
      <c r="F17" s="39">
        <f>IF(E16=0,0,D17/E16)</f>
        <v>3.5555555555555554</v>
      </c>
      <c r="G17" s="25"/>
      <c r="H17" s="26"/>
      <c r="I17" s="26"/>
      <c r="J17" s="5">
        <v>1.05</v>
      </c>
      <c r="K17" s="6">
        <f>2.52/J17*I16</f>
        <v>79.2</v>
      </c>
      <c r="L17" s="7"/>
    </row>
    <row r="18" spans="1:12">
      <c r="A18" s="8" t="s">
        <v>29</v>
      </c>
      <c r="B18" s="3" t="s">
        <v>30</v>
      </c>
      <c r="C18" s="4">
        <v>46255</v>
      </c>
      <c r="D18" s="37">
        <v>2522</v>
      </c>
      <c r="E18" s="40">
        <v>9</v>
      </c>
      <c r="F18" s="39">
        <f>IF(E18=0,0,D18/E18)</f>
        <v>280.22222222222223</v>
      </c>
      <c r="G18" s="9">
        <f>IF(E18=0,0,SUMPRODUCT(F18:F18,J18:J18)/(I18*2.52))</f>
        <v>2.0484080571799868</v>
      </c>
      <c r="H18" s="10">
        <f>G18*I18*E18</f>
        <v>700.55555555555543</v>
      </c>
      <c r="I18" s="10">
        <v>38</v>
      </c>
      <c r="J18" s="5">
        <v>0.7</v>
      </c>
      <c r="K18" s="6">
        <f>2.52/J18*I18</f>
        <v>136.80000000000001</v>
      </c>
      <c r="L18" s="7">
        <f>E18*I18</f>
        <v>342</v>
      </c>
    </row>
    <row r="19" spans="1:12">
      <c r="A19" s="24" t="s">
        <v>31</v>
      </c>
      <c r="B19" s="3" t="s">
        <v>14</v>
      </c>
      <c r="C19" s="4">
        <v>46267</v>
      </c>
      <c r="D19" s="37">
        <v>853</v>
      </c>
      <c r="E19" s="38">
        <v>9</v>
      </c>
      <c r="F19" s="39">
        <f>IF(E19=0,0,D19/E19)</f>
        <v>94.777777777777771</v>
      </c>
      <c r="G19" s="25">
        <f>IF(E19=0,0,SUMPRODUCT(F19:F20,J19:J20)/(I19*2.52))</f>
        <v>1.6958368142578666</v>
      </c>
      <c r="H19" s="26">
        <f>G19*I19*E19</f>
        <v>579.97619047619037</v>
      </c>
      <c r="I19" s="26">
        <v>38</v>
      </c>
      <c r="J19" s="5">
        <v>1.62</v>
      </c>
      <c r="K19" s="6">
        <f>2.52/J19*I19</f>
        <v>59.1111111111111</v>
      </c>
      <c r="L19" s="7">
        <f>E19*I19</f>
        <v>342</v>
      </c>
    </row>
    <row r="20" spans="1:12">
      <c r="A20" s="24"/>
      <c r="B20" s="3" t="s">
        <v>14</v>
      </c>
      <c r="C20" s="4">
        <v>46267</v>
      </c>
      <c r="D20" s="37">
        <v>48</v>
      </c>
      <c r="E20" s="38"/>
      <c r="F20" s="39">
        <f>IF(E19=0,0,D20/E19)</f>
        <v>5.333333333333333</v>
      </c>
      <c r="G20" s="25"/>
      <c r="H20" s="26"/>
      <c r="I20" s="26"/>
      <c r="J20" s="5">
        <v>1.66</v>
      </c>
      <c r="K20" s="6">
        <f>2.52/J20*I19</f>
        <v>57.686746987951807</v>
      </c>
      <c r="L20" s="7"/>
    </row>
    <row r="21" spans="1:12">
      <c r="A21" s="24" t="s">
        <v>32</v>
      </c>
      <c r="B21" s="5" t="s">
        <v>33</v>
      </c>
      <c r="C21" s="4">
        <v>46206</v>
      </c>
      <c r="D21" s="37">
        <v>0</v>
      </c>
      <c r="E21" s="38">
        <v>9</v>
      </c>
      <c r="F21" s="39">
        <f>IF(E21=0,0,D21/E21)</f>
        <v>0</v>
      </c>
      <c r="G21" s="25">
        <f>IF(E21=0,0,SUMPRODUCT(F21:F22,J21:J22)/(I21*2.52))</f>
        <v>1.2299498746867168</v>
      </c>
      <c r="H21" s="26">
        <f>G21*I21*E21</f>
        <v>420.64285714285717</v>
      </c>
      <c r="I21" s="26">
        <v>38</v>
      </c>
      <c r="J21" s="5">
        <v>0.21</v>
      </c>
      <c r="K21" s="6">
        <f>2.52/J21*I21</f>
        <v>456</v>
      </c>
      <c r="L21" s="7">
        <f>E21*I21</f>
        <v>342</v>
      </c>
    </row>
    <row r="22" spans="1:12">
      <c r="A22" s="24"/>
      <c r="B22" s="3" t="s">
        <v>16</v>
      </c>
      <c r="C22" s="4">
        <v>46286</v>
      </c>
      <c r="D22" s="37">
        <v>1359</v>
      </c>
      <c r="E22" s="38"/>
      <c r="F22" s="39">
        <f>IF(E21=0,0,D22/E21)</f>
        <v>151</v>
      </c>
      <c r="G22" s="25"/>
      <c r="H22" s="26"/>
      <c r="I22" s="26"/>
      <c r="J22" s="5">
        <v>0.78</v>
      </c>
      <c r="K22" s="6">
        <f>2.52/J22*I21</f>
        <v>122.76923076923077</v>
      </c>
      <c r="L22" s="7"/>
    </row>
    <row r="23" spans="1:12">
      <c r="A23" s="24" t="s">
        <v>34</v>
      </c>
      <c r="B23" s="3" t="s">
        <v>35</v>
      </c>
      <c r="C23" s="4">
        <v>46260</v>
      </c>
      <c r="D23" s="37">
        <v>14</v>
      </c>
      <c r="E23" s="38">
        <v>9</v>
      </c>
      <c r="F23" s="39">
        <f>IF(E23=0,0,D23/E23)</f>
        <v>1.5555555555555556</v>
      </c>
      <c r="G23" s="25">
        <f>IF(E23=0,0,SUMPRODUCT(F23:F25,J23:J25)/(I23*2.52))</f>
        <v>1.1596596596596598</v>
      </c>
      <c r="H23" s="26">
        <f>G23*I23*E23</f>
        <v>386.16666666666669</v>
      </c>
      <c r="I23" s="26">
        <v>37</v>
      </c>
      <c r="J23" s="5">
        <v>0.55000000000000004</v>
      </c>
      <c r="K23" s="6">
        <f>2.52/J23*I23</f>
        <v>169.5272727272727</v>
      </c>
      <c r="L23" s="7">
        <f>E23*I23</f>
        <v>333</v>
      </c>
    </row>
    <row r="24" spans="1:12">
      <c r="A24" s="24"/>
      <c r="B24" s="3" t="s">
        <v>35</v>
      </c>
      <c r="C24" s="4">
        <v>46260</v>
      </c>
      <c r="D24" s="37">
        <v>77</v>
      </c>
      <c r="E24" s="38"/>
      <c r="F24" s="39">
        <f>IF(E23=0,0,D24/E23)</f>
        <v>8.5555555555555554</v>
      </c>
      <c r="G24" s="25"/>
      <c r="H24" s="26"/>
      <c r="I24" s="26"/>
      <c r="J24" s="5">
        <v>0.59</v>
      </c>
      <c r="K24" s="6">
        <f>2.52/J24*I23</f>
        <v>158.03389830508476</v>
      </c>
      <c r="L24" s="7"/>
    </row>
    <row r="25" spans="1:12">
      <c r="A25" s="24"/>
      <c r="B25" s="3" t="s">
        <v>18</v>
      </c>
      <c r="C25" s="4">
        <v>46286</v>
      </c>
      <c r="D25" s="37">
        <v>1011</v>
      </c>
      <c r="E25" s="38"/>
      <c r="F25" s="39">
        <f>IF(E23=0,0,D25/E23)</f>
        <v>112.33333333333333</v>
      </c>
      <c r="G25" s="25"/>
      <c r="H25" s="26"/>
      <c r="I25" s="26"/>
      <c r="J25" s="5">
        <v>0.91</v>
      </c>
      <c r="K25" s="6">
        <f>2.52/J25*I23</f>
        <v>102.46153846153845</v>
      </c>
      <c r="L25" s="7"/>
    </row>
    <row r="26" spans="1:12">
      <c r="A26" s="8" t="s">
        <v>36</v>
      </c>
      <c r="B26" s="3" t="s">
        <v>20</v>
      </c>
      <c r="C26" s="4">
        <v>46258</v>
      </c>
      <c r="D26" s="37">
        <v>1449</v>
      </c>
      <c r="E26" s="40">
        <v>9</v>
      </c>
      <c r="F26" s="39">
        <f>IF(E26=0,0,D26/E26)</f>
        <v>161</v>
      </c>
      <c r="G26" s="9">
        <f>IF(E26=0,0,SUMPRODUCT(F26:F26,J26:J26)/(I26*2.52))</f>
        <v>2.2911877394636018</v>
      </c>
      <c r="H26" s="10">
        <f>G26*I26*E26</f>
        <v>598.00000000000011</v>
      </c>
      <c r="I26" s="10">
        <v>29</v>
      </c>
      <c r="J26" s="5">
        <v>1.04</v>
      </c>
      <c r="K26" s="6">
        <f>2.52/J26*I26</f>
        <v>70.269230769230759</v>
      </c>
      <c r="L26" s="7">
        <f>E26*I26</f>
        <v>261</v>
      </c>
    </row>
    <row r="27" spans="1:12">
      <c r="A27" s="8" t="s">
        <v>37</v>
      </c>
      <c r="B27" s="3" t="s">
        <v>38</v>
      </c>
      <c r="C27" s="4">
        <v>46276</v>
      </c>
      <c r="D27" s="37">
        <v>1179</v>
      </c>
      <c r="E27" s="40">
        <v>9</v>
      </c>
      <c r="F27" s="39">
        <f>IF(E27=0,0,D27/E27)</f>
        <v>131</v>
      </c>
      <c r="G27" s="9">
        <f>IF(E27=0,0,SUMPRODUCT(F27:F27,J27:J27)/(I27*2.52))</f>
        <v>1.5454740454740459</v>
      </c>
      <c r="H27" s="10">
        <f>G27*I27*E27</f>
        <v>514.64285714285734</v>
      </c>
      <c r="I27" s="10">
        <v>37</v>
      </c>
      <c r="J27" s="5">
        <v>1.1000000000000001</v>
      </c>
      <c r="K27" s="6">
        <f>2.52/J27*I27</f>
        <v>84.763636363636351</v>
      </c>
      <c r="L27" s="7">
        <f>E27*I27</f>
        <v>333</v>
      </c>
    </row>
    <row r="28" spans="1:12">
      <c r="A28" s="24" t="s">
        <v>39</v>
      </c>
      <c r="B28" s="3" t="s">
        <v>35</v>
      </c>
      <c r="C28" s="4">
        <v>46267</v>
      </c>
      <c r="D28" s="37">
        <v>2056</v>
      </c>
      <c r="E28" s="38">
        <v>9</v>
      </c>
      <c r="F28" s="39">
        <f>IF(E28=0,0,D28/E28)</f>
        <v>228.44444444444446</v>
      </c>
      <c r="G28" s="25">
        <f>IF(E28=0,0,SUMPRODUCT(F28:F29,J28:J29)/(I28*2.52))</f>
        <v>1.5427185689090452</v>
      </c>
      <c r="H28" s="26">
        <f>G28*I28*E28</f>
        <v>485.95634920634927</v>
      </c>
      <c r="I28" s="26">
        <v>35</v>
      </c>
      <c r="J28" s="5">
        <v>0.55000000000000004</v>
      </c>
      <c r="K28" s="6">
        <f>2.52/J28*I28</f>
        <v>160.36363636363635</v>
      </c>
      <c r="L28" s="7">
        <f>E28*I28</f>
        <v>315</v>
      </c>
    </row>
    <row r="29" spans="1:12">
      <c r="A29" s="24"/>
      <c r="B29" s="3" t="s">
        <v>35</v>
      </c>
      <c r="C29" s="4">
        <v>46267</v>
      </c>
      <c r="D29" s="37">
        <v>159</v>
      </c>
      <c r="E29" s="38"/>
      <c r="F29" s="39">
        <f>IF(E28=0,0,D29/E28)</f>
        <v>17.666666666666668</v>
      </c>
      <c r="G29" s="25"/>
      <c r="H29" s="26"/>
      <c r="I29" s="26"/>
      <c r="J29" s="5">
        <v>0.59</v>
      </c>
      <c r="K29" s="6">
        <f>2.52/J29*I28</f>
        <v>149.49152542372883</v>
      </c>
      <c r="L29" s="7"/>
    </row>
    <row r="30" spans="1:12">
      <c r="A30" s="8" t="s">
        <v>40</v>
      </c>
      <c r="B30" s="3" t="s">
        <v>41</v>
      </c>
      <c r="C30" s="4">
        <v>46246</v>
      </c>
      <c r="D30" s="37">
        <v>961</v>
      </c>
      <c r="E30" s="40">
        <v>9</v>
      </c>
      <c r="F30" s="39">
        <f>IF(E30=0,0,D30/E30)</f>
        <v>106.77777777777777</v>
      </c>
      <c r="G30" s="9">
        <f>IF(E30=0,0,SUMPRODUCT(F30:F30,J30:J30)/(I30*2.52))</f>
        <v>1.68373479996287</v>
      </c>
      <c r="H30" s="10">
        <f>G30*I30*E30</f>
        <v>575.83730158730157</v>
      </c>
      <c r="I30" s="10">
        <v>38</v>
      </c>
      <c r="J30" s="5">
        <v>1.51</v>
      </c>
      <c r="K30" s="6">
        <f>2.52/J30*I30</f>
        <v>63.41721854304636</v>
      </c>
      <c r="L30" s="7">
        <f>E30*I30</f>
        <v>342</v>
      </c>
    </row>
    <row r="31" spans="1:12">
      <c r="A31" s="8" t="s">
        <v>42</v>
      </c>
      <c r="B31" s="3" t="s">
        <v>43</v>
      </c>
      <c r="C31" s="4">
        <v>46253</v>
      </c>
      <c r="D31" s="37">
        <v>952</v>
      </c>
      <c r="E31" s="40">
        <v>9</v>
      </c>
      <c r="F31" s="39">
        <f>IF(E31=0,0,D31/E31)</f>
        <v>105.77777777777777</v>
      </c>
      <c r="G31" s="9">
        <f>IF(E31=0,0,SUMPRODUCT(F31:F31,J31:J31)/(I31*2.52))</f>
        <v>1.6237816764132551</v>
      </c>
      <c r="H31" s="10">
        <f>G31*I31*E31</f>
        <v>555.33333333333326</v>
      </c>
      <c r="I31" s="10">
        <v>38</v>
      </c>
      <c r="J31" s="5">
        <v>1.47</v>
      </c>
      <c r="K31" s="6">
        <f>2.52/J31*I31</f>
        <v>65.142857142857153</v>
      </c>
      <c r="L31" s="7">
        <f>E31*I31</f>
        <v>342</v>
      </c>
    </row>
    <row r="32" spans="1:12">
      <c r="A32" s="8" t="s">
        <v>44</v>
      </c>
      <c r="B32" s="3" t="s">
        <v>27</v>
      </c>
      <c r="C32" s="4">
        <v>46122</v>
      </c>
      <c r="D32" s="37">
        <v>1665</v>
      </c>
      <c r="E32" s="40">
        <v>9</v>
      </c>
      <c r="F32" s="39">
        <f>IF(E32=0,0,D32/E32)</f>
        <v>185</v>
      </c>
      <c r="G32" s="9">
        <f>IF(E32=0,0,SUMPRODUCT(F32:F32,J32:J32)/(I32*2.52))</f>
        <v>2.0285087719298245</v>
      </c>
      <c r="H32" s="10">
        <f>G32*I32*E32</f>
        <v>693.75</v>
      </c>
      <c r="I32" s="10">
        <v>38</v>
      </c>
      <c r="J32" s="5">
        <v>1.05</v>
      </c>
      <c r="K32" s="6">
        <f>2.52/J32*I32</f>
        <v>91.2</v>
      </c>
      <c r="L32" s="7">
        <f>E32*I32</f>
        <v>342</v>
      </c>
    </row>
    <row r="33" spans="1:12">
      <c r="A33" s="8" t="s">
        <v>45</v>
      </c>
      <c r="B33" s="3" t="s">
        <v>20</v>
      </c>
      <c r="C33" s="4">
        <v>46267</v>
      </c>
      <c r="D33" s="37">
        <v>1682</v>
      </c>
      <c r="E33" s="40">
        <v>9</v>
      </c>
      <c r="F33" s="39">
        <f>IF(E33=0,0,D33/E33)</f>
        <v>186.88888888888889</v>
      </c>
      <c r="G33" s="9">
        <f>IF(E33=0,0,SUMPRODUCT(F33:F33,J33:J33)/(I33*2.52))</f>
        <v>2.2660689790319419</v>
      </c>
      <c r="H33" s="10">
        <f>G33*I33*E33</f>
        <v>734.20634920634916</v>
      </c>
      <c r="I33" s="10">
        <v>36</v>
      </c>
      <c r="J33" s="5">
        <v>1.1000000000000001</v>
      </c>
      <c r="K33" s="6">
        <f>2.52/J33*I33</f>
        <v>82.472727272727255</v>
      </c>
      <c r="L33" s="7">
        <f>E33*I33</f>
        <v>324</v>
      </c>
    </row>
    <row r="34" spans="1:12">
      <c r="A34" s="24" t="s">
        <v>46</v>
      </c>
      <c r="B34" s="3" t="s">
        <v>47</v>
      </c>
      <c r="C34" s="4">
        <v>46267</v>
      </c>
      <c r="D34" s="37">
        <v>2302</v>
      </c>
      <c r="E34" s="38">
        <v>9</v>
      </c>
      <c r="F34" s="39">
        <f>IF(E34=0,0,D34/E34)</f>
        <v>255.77777777777777</v>
      </c>
      <c r="G34" s="25">
        <f>IF(E34=0,0,SUMPRODUCT(F34:F35,J34:J35)/(I34*2.52))</f>
        <v>2.0372226863454932</v>
      </c>
      <c r="H34" s="26">
        <f>G34*I34*E34</f>
        <v>696.73015873015868</v>
      </c>
      <c r="I34" s="26">
        <v>38</v>
      </c>
      <c r="J34" s="5">
        <v>0.76</v>
      </c>
      <c r="K34" s="6">
        <f>2.52/J34*I34</f>
        <v>126</v>
      </c>
      <c r="L34" s="7">
        <f>E34*I34</f>
        <v>342</v>
      </c>
    </row>
    <row r="35" spans="1:12">
      <c r="A35" s="24"/>
      <c r="B35" s="3" t="s">
        <v>47</v>
      </c>
      <c r="C35" s="4">
        <v>46267</v>
      </c>
      <c r="D35" s="37">
        <v>8</v>
      </c>
      <c r="E35" s="38"/>
      <c r="F35" s="39">
        <f>IF(E34=0,0,D35/E34)</f>
        <v>0.88888888888888884</v>
      </c>
      <c r="G35" s="25"/>
      <c r="H35" s="26"/>
      <c r="I35" s="26"/>
      <c r="J35" s="5">
        <v>0.78</v>
      </c>
      <c r="K35" s="6">
        <f>2.52/J35*I34</f>
        <v>122.76923076923077</v>
      </c>
      <c r="L35" s="7"/>
    </row>
    <row r="36" spans="1:12">
      <c r="A36" s="8" t="s">
        <v>48</v>
      </c>
      <c r="B36" s="3" t="s">
        <v>18</v>
      </c>
      <c r="C36" s="4">
        <v>46286</v>
      </c>
      <c r="D36" s="37">
        <v>880</v>
      </c>
      <c r="E36" s="40">
        <v>9</v>
      </c>
      <c r="F36" s="39">
        <f>IF(E36=0,0,D36/E36)</f>
        <v>97.777777777777771</v>
      </c>
      <c r="G36" s="9">
        <f>IF(E36=0,0,SUMPRODUCT(F36:F36,J36:J36)/(I36*2.52))</f>
        <v>0.95428762095428765</v>
      </c>
      <c r="H36" s="10">
        <f>G36*I36*E36</f>
        <v>317.77777777777783</v>
      </c>
      <c r="I36" s="10">
        <v>37</v>
      </c>
      <c r="J36" s="5">
        <v>0.91</v>
      </c>
      <c r="K36" s="6">
        <f>2.52/J36*I36</f>
        <v>102.46153846153845</v>
      </c>
      <c r="L36" s="7">
        <f>E36*I36</f>
        <v>333</v>
      </c>
    </row>
    <row r="37" spans="1:12">
      <c r="A37" s="8" t="s">
        <v>49</v>
      </c>
      <c r="B37" s="3" t="s">
        <v>50</v>
      </c>
      <c r="C37" s="4">
        <v>46255</v>
      </c>
      <c r="D37" s="37">
        <v>1084</v>
      </c>
      <c r="E37" s="40">
        <v>9</v>
      </c>
      <c r="F37" s="39">
        <f>IF(E37=0,0,D37/E37)</f>
        <v>120.44444444444444</v>
      </c>
      <c r="G37" s="9">
        <f>IF(E37=0,0,SUMPRODUCT(F37:F37,J37:J37)/(I37*2.52))</f>
        <v>1.640545307211974</v>
      </c>
      <c r="H37" s="10">
        <f>G37*I37*E37</f>
        <v>546.30158730158735</v>
      </c>
      <c r="I37" s="10">
        <v>37</v>
      </c>
      <c r="J37" s="5">
        <v>1.27</v>
      </c>
      <c r="K37" s="6">
        <f>2.52/J37*I37</f>
        <v>73.417322834645674</v>
      </c>
      <c r="L37" s="7">
        <f>E37*I37</f>
        <v>333</v>
      </c>
    </row>
    <row r="38" spans="1:12">
      <c r="A38" s="27" t="s">
        <v>51</v>
      </c>
      <c r="B38" s="28"/>
      <c r="C38" s="29"/>
      <c r="D38" s="11">
        <f>SUM(D5:D37)</f>
        <v>28362</v>
      </c>
      <c r="E38" s="12">
        <f>SUM(E5:E37)</f>
        <v>179</v>
      </c>
      <c r="F38" s="13"/>
      <c r="G38" s="14">
        <f>SUM(H5:H37)/L38</f>
        <v>1.7180566820355068</v>
      </c>
      <c r="H38" s="11"/>
      <c r="I38" s="11">
        <f>SUM(I5:I37)</f>
        <v>728</v>
      </c>
      <c r="J38" s="11"/>
      <c r="K38" s="13"/>
      <c r="L38" s="15">
        <f>SUM(L5:L37)</f>
        <v>6517</v>
      </c>
    </row>
    <row r="39" spans="1:12" ht="13.5" thickBot="1">
      <c r="A39" s="21" t="s">
        <v>52</v>
      </c>
      <c r="B39" s="22"/>
      <c r="C39" s="23"/>
      <c r="D39" s="16">
        <f>SUMIF(A5:A38, "&lt;&gt;Summary", D5:D38)</f>
        <v>28362</v>
      </c>
      <c r="E39" s="17">
        <f>SUMIF(A5:A38, "&lt;&gt;Summary", E5:E38)</f>
        <v>179</v>
      </c>
      <c r="F39" s="18"/>
      <c r="G39" s="19">
        <f>SUMIF(A5:A38, "&lt;&gt;Summary", H5:H38)/L39</f>
        <v>1.7180566820355068</v>
      </c>
      <c r="H39" s="16"/>
      <c r="I39" s="16">
        <f>SUMIF(A5:A38, "&lt;&gt;Summary", I5:I38)</f>
        <v>728</v>
      </c>
      <c r="J39" s="16"/>
      <c r="K39" s="18"/>
      <c r="L39" s="20">
        <f>SUMIF(A5:A38, "&lt;&gt;Summary", L5:L38)</f>
        <v>6517</v>
      </c>
    </row>
    <row r="40" spans="1:12" ht="13.5" thickTop="1"/>
    <row r="41" spans="1:12">
      <c r="C41" s="36" t="s">
        <v>53</v>
      </c>
      <c r="D41" s="36">
        <f>SUM(H5:H15)/SUM(L5:L15)</f>
        <v>1.7327154408396568</v>
      </c>
    </row>
    <row r="42" spans="1:12">
      <c r="C42" s="36" t="s">
        <v>54</v>
      </c>
      <c r="D42" s="36">
        <f>SUM(H16:H25)/SUM(L16:L25)</f>
        <v>1.6401517329959356</v>
      </c>
    </row>
    <row r="43" spans="1:12">
      <c r="C43" s="36" t="s">
        <v>55</v>
      </c>
      <c r="D43" s="36">
        <f>SUM(H26:H31)/SUM(L26:L31)</f>
        <v>1.7136031646389465</v>
      </c>
    </row>
    <row r="44" spans="1:12">
      <c r="C44" s="36" t="s">
        <v>56</v>
      </c>
      <c r="D44" s="36">
        <f>SUM(H32:H37)/SUM(L32:L37)</f>
        <v>1.7854037473213102</v>
      </c>
    </row>
  </sheetData>
  <mergeCells count="5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8:A9"/>
    <mergeCell ref="E8:E9"/>
    <mergeCell ref="G8:G9"/>
    <mergeCell ref="H8:H9"/>
    <mergeCell ref="I8:I9"/>
    <mergeCell ref="A5:A6"/>
    <mergeCell ref="E5:E6"/>
    <mergeCell ref="G5:G6"/>
    <mergeCell ref="H5:H6"/>
    <mergeCell ref="I5:I6"/>
    <mergeCell ref="A16:A17"/>
    <mergeCell ref="E16:E17"/>
    <mergeCell ref="G16:G17"/>
    <mergeCell ref="H16:H17"/>
    <mergeCell ref="I16:I17"/>
    <mergeCell ref="A11:A15"/>
    <mergeCell ref="E11:E15"/>
    <mergeCell ref="G11:G15"/>
    <mergeCell ref="H11:H15"/>
    <mergeCell ref="I11:I15"/>
    <mergeCell ref="A21:A22"/>
    <mergeCell ref="E21:E22"/>
    <mergeCell ref="G21:G22"/>
    <mergeCell ref="H21:H22"/>
    <mergeCell ref="I21:I22"/>
    <mergeCell ref="A19:A20"/>
    <mergeCell ref="E19:E20"/>
    <mergeCell ref="G19:G20"/>
    <mergeCell ref="H19:H20"/>
    <mergeCell ref="I19:I20"/>
    <mergeCell ref="I34:I35"/>
    <mergeCell ref="A38:C38"/>
    <mergeCell ref="A23:A25"/>
    <mergeCell ref="E23:E25"/>
    <mergeCell ref="G23:G25"/>
    <mergeCell ref="H23:H25"/>
    <mergeCell ref="I23:I25"/>
    <mergeCell ref="A28:A29"/>
    <mergeCell ref="E28:E29"/>
    <mergeCell ref="G28:G29"/>
    <mergeCell ref="H28:H29"/>
    <mergeCell ref="I28:I29"/>
    <mergeCell ref="A39:C39"/>
    <mergeCell ref="A34:A35"/>
    <mergeCell ref="E34:E35"/>
    <mergeCell ref="G34:G35"/>
    <mergeCell ref="H34:H35"/>
  </mergeCells>
  <printOptions horizontalCentered="1"/>
  <pageMargins left="0.2" right="0.2" top="1" bottom="0.2" header="0.2" footer="0.2"/>
  <pageSetup paperSize="9" scale="83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cp:lastPrinted>2026-09-25T01:12:38Z</cp:lastPrinted>
  <dcterms:created xsi:type="dcterms:W3CDTF">2026-09-25T00:57:14Z</dcterms:created>
  <dcterms:modified xsi:type="dcterms:W3CDTF">2026-09-25T01:20:19Z</dcterms:modified>
</cp:coreProperties>
</file>