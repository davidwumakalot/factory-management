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4" i="1"/>
  <c r="E34"/>
  <c r="D34"/>
  <c r="I32"/>
  <c r="E32"/>
  <c r="D32"/>
  <c r="L31"/>
  <c r="G31"/>
  <c r="H31" s="1"/>
  <c r="K31"/>
  <c r="F31"/>
  <c r="L30"/>
  <c r="K30"/>
  <c r="F30"/>
  <c r="G30" s="1"/>
  <c r="H30" s="1"/>
  <c r="L29"/>
  <c r="K29"/>
  <c r="F29"/>
  <c r="G29" s="1"/>
  <c r="H29" s="1"/>
  <c r="L28"/>
  <c r="K28"/>
  <c r="F28"/>
  <c r="G28" s="1"/>
  <c r="H28" s="1"/>
  <c r="L26"/>
  <c r="K27"/>
  <c r="F27"/>
  <c r="K26"/>
  <c r="F26"/>
  <c r="G26" s="1"/>
  <c r="H26" s="1"/>
  <c r="L24"/>
  <c r="K25"/>
  <c r="F25"/>
  <c r="K24"/>
  <c r="F24"/>
  <c r="G24" s="1"/>
  <c r="H24" s="1"/>
  <c r="L22"/>
  <c r="K23"/>
  <c r="F23"/>
  <c r="K22"/>
  <c r="F22"/>
  <c r="L21"/>
  <c r="G21"/>
  <c r="H21" s="1"/>
  <c r="K21"/>
  <c r="F21"/>
  <c r="L20"/>
  <c r="G20"/>
  <c r="H20" s="1"/>
  <c r="K20"/>
  <c r="F20"/>
  <c r="L18"/>
  <c r="K19"/>
  <c r="F19"/>
  <c r="K18"/>
  <c r="F18"/>
  <c r="G18" s="1"/>
  <c r="H18" s="1"/>
  <c r="L17"/>
  <c r="K17"/>
  <c r="F17"/>
  <c r="G17" s="1"/>
  <c r="H17" s="1"/>
  <c r="L16"/>
  <c r="K16"/>
  <c r="F16"/>
  <c r="G16" s="1"/>
  <c r="H16" s="1"/>
  <c r="L15"/>
  <c r="K15"/>
  <c r="F15"/>
  <c r="G15" s="1"/>
  <c r="H15" s="1"/>
  <c r="L13"/>
  <c r="K14"/>
  <c r="F14"/>
  <c r="K13"/>
  <c r="F13"/>
  <c r="G13" s="1"/>
  <c r="H13" s="1"/>
  <c r="L12"/>
  <c r="K12"/>
  <c r="F12"/>
  <c r="G12" s="1"/>
  <c r="H12" s="1"/>
  <c r="L10"/>
  <c r="K11"/>
  <c r="F11"/>
  <c r="K10"/>
  <c r="F10"/>
  <c r="G10" s="1"/>
  <c r="H10" s="1"/>
  <c r="L9"/>
  <c r="K9"/>
  <c r="F9"/>
  <c r="G9" s="1"/>
  <c r="H9" s="1"/>
  <c r="L8"/>
  <c r="G8"/>
  <c r="H8" s="1"/>
  <c r="K8"/>
  <c r="F8"/>
  <c r="L7"/>
  <c r="K7"/>
  <c r="F7"/>
  <c r="G7" s="1"/>
  <c r="H7" s="1"/>
  <c r="L5"/>
  <c r="L34" s="1"/>
  <c r="K6"/>
  <c r="F6"/>
  <c r="K5"/>
  <c r="F5"/>
  <c r="G22" l="1"/>
  <c r="H22" s="1"/>
  <c r="D38" s="1"/>
  <c r="G5"/>
  <c r="H5" s="1"/>
  <c r="D36" s="1"/>
  <c r="D37"/>
  <c r="D39"/>
  <c r="L32"/>
  <c r="G32" s="1"/>
  <c r="G34"/>
</calcChain>
</file>

<file path=xl/sharedStrings.xml><?xml version="1.0" encoding="utf-8"?>
<sst xmlns="http://schemas.openxmlformats.org/spreadsheetml/2006/main" count="66" uniqueCount="55">
  <si>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</si>
  <si>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</si>
  <si>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</si>
  <si>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</si>
  <si>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</si>
  <si>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</si>
  <si>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</si>
  <si>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</si>
  <si>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</si>
  <si>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</si>
  <si>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</si>
  <si>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</si>
  <si>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</si>
  <si>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</si>
  <si>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DAB14127_Q127</t>
  </si>
  <si>
    <t>DAB15113PR_Q127</t>
  </si>
  <si>
    <t>5-02</t>
  </si>
  <si>
    <t>P6W6E9_C127</t>
  </si>
  <si>
    <t>5-03</t>
  </si>
  <si>
    <t>K880V_FA26</t>
  </si>
  <si>
    <t>5-04</t>
  </si>
  <si>
    <t>P68YG3_C127</t>
  </si>
  <si>
    <t>5-05</t>
  </si>
  <si>
    <t>G9MLYZ_C127</t>
  </si>
  <si>
    <t>5-06</t>
  </si>
  <si>
    <t>G95056_C127</t>
  </si>
  <si>
    <t>5-07</t>
  </si>
  <si>
    <t>K881_FA26</t>
  </si>
  <si>
    <t>315260003_SP27</t>
  </si>
  <si>
    <t>5-08</t>
  </si>
  <si>
    <t>5-09</t>
  </si>
  <si>
    <t>ST841_FA26</t>
  </si>
  <si>
    <t>5-10</t>
  </si>
  <si>
    <t>1KM1XY_C127</t>
  </si>
  <si>
    <t>5-11</t>
  </si>
  <si>
    <t>5-12</t>
  </si>
  <si>
    <t>5-13</t>
  </si>
  <si>
    <t>5-14</t>
  </si>
  <si>
    <t>K880_FA26</t>
  </si>
  <si>
    <t>5-15</t>
  </si>
  <si>
    <t>5-16</t>
  </si>
  <si>
    <t>MAX233402CUT426</t>
  </si>
  <si>
    <t>MAX233402_Q127</t>
  </si>
  <si>
    <t>5-17</t>
  </si>
  <si>
    <t>5-18</t>
  </si>
  <si>
    <t>00AD0_H127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</si>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</sst>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5" xfId="0" applyFont="1" applyBorder="1" applyAlignment="1">
      <alignment horizontal="righ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9"/>
  <sheetViews>
    <sheetView tabSelected="1" workbookViewId="0">
      <pane ySplit="4" topLeftCell="A5" activePane="bottomLeft" state="frozen"/>
      <selection pane="bottomLeft" activeCell="B10" sqref="B10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6" width="8.7109375" style="1" customWidth="1"/>
    <col min="7" max="7" width="13.42578125" style="1" customWidth="1"/>
    <col min="8" max="8" width="8.7109375" style="1" customWidth="1"/>
    <col min="9" max="16384" width="9.140625" style="1"/>
  </cols>
  <sheetData>
    <row r="1" spans="1:12">
      <c r="A1" s="1" t="s">
        <v>0</v>
      </c>
      <c r="B1" s="2">
        <v>46289</v>
      </c>
    </row>
    <row r="2" spans="1:12" ht="13.5" thickBot="1"/>
    <row r="3" spans="1:12" ht="13.5" customHeight="1" thickTop="1">
      <c r="A3" s="40" t="s">
        <v>1</v>
      </c>
      <c r="B3" s="42" t="s">
        <v>2</v>
      </c>
      <c r="C3" s="42" t="s">
        <v>3</v>
      </c>
      <c r="D3" s="42" t="s">
        <v>4</v>
      </c>
      <c r="E3" s="42" t="s">
        <v>5</v>
      </c>
      <c r="F3" s="42" t="s">
        <v>6</v>
      </c>
      <c r="G3" s="42" t="s">
        <v>7</v>
      </c>
      <c r="H3" s="42" t="s">
        <v>8</v>
      </c>
      <c r="I3" s="42" t="s">
        <v>9</v>
      </c>
      <c r="J3" s="42" t="s">
        <v>10</v>
      </c>
      <c r="K3" s="42" t="s">
        <v>11</v>
      </c>
      <c r="L3" s="38" t="s">
        <v>12</v>
      </c>
    </row>
    <row r="4" spans="1:12">
      <c r="A4" s="41"/>
      <c r="B4" s="43"/>
      <c r="C4" s="43"/>
      <c r="D4" s="43"/>
      <c r="E4" s="43"/>
      <c r="F4" s="43"/>
      <c r="G4" s="43"/>
      <c r="H4" s="43"/>
      <c r="I4" s="43"/>
      <c r="J4" s="43"/>
      <c r="K4" s="43"/>
      <c r="L4" s="39"/>
    </row>
    <row r="5" spans="1:12">
      <c r="A5" s="31" t="s">
        <v>13</v>
      </c>
      <c r="B5" s="3" t="s">
        <v>14</v>
      </c>
      <c r="C5" s="4">
        <v>46272</v>
      </c>
      <c r="D5" s="27">
        <v>35</v>
      </c>
      <c r="E5" s="32">
        <v>9</v>
      </c>
      <c r="F5" s="6">
        <f>IF(E5=0,0,D5/E5)</f>
        <v>3.8888888888888888</v>
      </c>
      <c r="G5" s="33">
        <f>IF(E5=0,0,SUMPRODUCT(F5:F6,J5:J6)/(I5*2.52))</f>
        <v>1.6508889842223178</v>
      </c>
      <c r="H5" s="34">
        <f>G5*I5*E5</f>
        <v>549.7460317460318</v>
      </c>
      <c r="I5" s="34">
        <v>37</v>
      </c>
      <c r="J5" s="5">
        <v>0.8</v>
      </c>
      <c r="K5" s="6">
        <f>2.52/J5*I5</f>
        <v>116.55</v>
      </c>
      <c r="L5" s="7">
        <f>E5*I5</f>
        <v>333</v>
      </c>
    </row>
    <row r="6" spans="1:12">
      <c r="A6" s="31"/>
      <c r="B6" s="3" t="s">
        <v>15</v>
      </c>
      <c r="C6" s="4">
        <v>46279</v>
      </c>
      <c r="D6" s="27">
        <v>1444</v>
      </c>
      <c r="E6" s="32"/>
      <c r="F6" s="6">
        <f>IF(E5=0,0,D6/E5)</f>
        <v>160.44444444444446</v>
      </c>
      <c r="G6" s="33"/>
      <c r="H6" s="34"/>
      <c r="I6" s="34"/>
      <c r="J6" s="5">
        <v>0.94</v>
      </c>
      <c r="K6" s="6">
        <f>2.52/J6*I5</f>
        <v>99.191489361702125</v>
      </c>
      <c r="L6" s="7"/>
    </row>
    <row r="7" spans="1:12">
      <c r="A7" s="8" t="s">
        <v>16</v>
      </c>
      <c r="B7" s="3" t="s">
        <v>17</v>
      </c>
      <c r="C7" s="4">
        <v>46276</v>
      </c>
      <c r="D7" s="27">
        <v>1248</v>
      </c>
      <c r="E7" s="9">
        <v>9</v>
      </c>
      <c r="F7" s="6">
        <f>IF(E7=0,0,D7/E7)</f>
        <v>138.66666666666666</v>
      </c>
      <c r="G7" s="10">
        <f>IF(E7=0,0,SUMPRODUCT(F7:F7,J7:J7)/(I7*2.52))</f>
        <v>2.3558201058201056</v>
      </c>
      <c r="H7" s="11">
        <f>G7*I7*E7</f>
        <v>678.47619047619037</v>
      </c>
      <c r="I7" s="11">
        <v>32</v>
      </c>
      <c r="J7" s="5">
        <v>1.37</v>
      </c>
      <c r="K7" s="6">
        <f>2.52/J7*I7</f>
        <v>58.861313868613138</v>
      </c>
      <c r="L7" s="7">
        <f>E7*I7</f>
        <v>288</v>
      </c>
    </row>
    <row r="8" spans="1:12">
      <c r="A8" s="8" t="s">
        <v>18</v>
      </c>
      <c r="B8" s="3" t="s">
        <v>19</v>
      </c>
      <c r="C8" s="4">
        <v>46281</v>
      </c>
      <c r="D8" s="27">
        <v>756</v>
      </c>
      <c r="E8" s="9">
        <v>9</v>
      </c>
      <c r="F8" s="6">
        <f>IF(E8=0,0,D8/E8)</f>
        <v>84</v>
      </c>
      <c r="G8" s="10">
        <f>IF(E8=0,0,SUMPRODUCT(F8:F8,J8:J8)/(I8*2.52))</f>
        <v>1.3131313131313131</v>
      </c>
      <c r="H8" s="11">
        <f>G8*I8*E8</f>
        <v>390</v>
      </c>
      <c r="I8" s="11">
        <v>33</v>
      </c>
      <c r="J8" s="5">
        <v>1.3</v>
      </c>
      <c r="K8" s="6">
        <f>2.52/J8*I8</f>
        <v>63.969230769230769</v>
      </c>
      <c r="L8" s="7">
        <f>E8*I8</f>
        <v>297</v>
      </c>
    </row>
    <row r="9" spans="1:12">
      <c r="A9" s="8" t="s">
        <v>20</v>
      </c>
      <c r="B9" s="3" t="s">
        <v>21</v>
      </c>
      <c r="C9" s="4">
        <v>46265</v>
      </c>
      <c r="D9" s="27">
        <v>1604</v>
      </c>
      <c r="E9" s="9">
        <v>9</v>
      </c>
      <c r="F9" s="6">
        <f>IF(E9=0,0,D9/E9)</f>
        <v>178.22222222222223</v>
      </c>
      <c r="G9" s="10">
        <f>IF(E9=0,0,SUMPRODUCT(F9:F9,J9:J9)/(I9*2.52))</f>
        <v>1.809679427326486</v>
      </c>
      <c r="H9" s="11">
        <f>G9*I9*E9</f>
        <v>553.7619047619047</v>
      </c>
      <c r="I9" s="11">
        <v>34</v>
      </c>
      <c r="J9" s="5">
        <v>0.87</v>
      </c>
      <c r="K9" s="6">
        <f>2.52/J9*I9</f>
        <v>98.482758620689651</v>
      </c>
      <c r="L9" s="7">
        <f>E9*I9</f>
        <v>306</v>
      </c>
    </row>
    <row r="10" spans="1:12">
      <c r="A10" s="31" t="s">
        <v>22</v>
      </c>
      <c r="B10" s="3" t="s">
        <v>23</v>
      </c>
      <c r="C10" s="4">
        <v>46283</v>
      </c>
      <c r="D10" s="27">
        <v>776</v>
      </c>
      <c r="E10" s="32">
        <v>9</v>
      </c>
      <c r="F10" s="6">
        <f>IF(E10=0,0,D10/E10)</f>
        <v>86.222222222222229</v>
      </c>
      <c r="G10" s="33">
        <f>IF(E10=0,0,SUMPRODUCT(F10:F11,J10:J11)/(I10*2.52))</f>
        <v>1.6376921138825902</v>
      </c>
      <c r="H10" s="34">
        <f>G10*I10*E10</f>
        <v>515.8730158730159</v>
      </c>
      <c r="I10" s="34">
        <v>35</v>
      </c>
      <c r="J10" s="5">
        <v>1.56</v>
      </c>
      <c r="K10" s="6">
        <f>2.52/J10*I10</f>
        <v>56.53846153846154</v>
      </c>
      <c r="L10" s="7">
        <f>E10*I10</f>
        <v>315</v>
      </c>
    </row>
    <row r="11" spans="1:12">
      <c r="A11" s="31"/>
      <c r="B11" s="3" t="s">
        <v>23</v>
      </c>
      <c r="C11" s="4">
        <v>46283</v>
      </c>
      <c r="D11" s="27">
        <v>52</v>
      </c>
      <c r="E11" s="32"/>
      <c r="F11" s="6">
        <f>IF(E10=0,0,D11/E10)</f>
        <v>5.7777777777777777</v>
      </c>
      <c r="G11" s="33"/>
      <c r="H11" s="34"/>
      <c r="I11" s="34"/>
      <c r="J11" s="5">
        <v>1.72</v>
      </c>
      <c r="K11" s="6">
        <f>2.52/J11*I10</f>
        <v>51.279069767441861</v>
      </c>
      <c r="L11" s="7"/>
    </row>
    <row r="12" spans="1:12">
      <c r="A12" s="8" t="s">
        <v>24</v>
      </c>
      <c r="B12" s="3" t="s">
        <v>25</v>
      </c>
      <c r="C12" s="4">
        <v>46279</v>
      </c>
      <c r="D12" s="27">
        <v>1003</v>
      </c>
      <c r="E12" s="9">
        <v>9</v>
      </c>
      <c r="F12" s="6">
        <f>IF(E12=0,0,D12/E12)</f>
        <v>111.44444444444444</v>
      </c>
      <c r="G12" s="10">
        <f>IF(E12=0,0,SUMPRODUCT(F12:F12,J12:J12)/(I12*2.52))</f>
        <v>1.3267195767195767</v>
      </c>
      <c r="H12" s="11">
        <f>G12*I12*E12</f>
        <v>417.91666666666663</v>
      </c>
      <c r="I12" s="11">
        <v>35</v>
      </c>
      <c r="J12" s="5">
        <v>1.05</v>
      </c>
      <c r="K12" s="6">
        <f>2.52/J12*I12</f>
        <v>84</v>
      </c>
      <c r="L12" s="7">
        <f>E12*I12</f>
        <v>315</v>
      </c>
    </row>
    <row r="13" spans="1:12">
      <c r="A13" s="31" t="s">
        <v>26</v>
      </c>
      <c r="B13" s="3" t="s">
        <v>27</v>
      </c>
      <c r="C13" s="4">
        <v>46219</v>
      </c>
      <c r="D13" s="27">
        <v>573</v>
      </c>
      <c r="E13" s="32">
        <v>9</v>
      </c>
      <c r="F13" s="6">
        <f>IF(E13=0,0,D13/E13)</f>
        <v>63.666666666666664</v>
      </c>
      <c r="G13" s="33">
        <f>IF(E13=0,0,SUMPRODUCT(F13:F14,J13:J14)/(I13*2.52))</f>
        <v>1.3710506424792137</v>
      </c>
      <c r="H13" s="34">
        <f>G13*I13*E13</f>
        <v>431.88095238095229</v>
      </c>
      <c r="I13" s="34">
        <v>35</v>
      </c>
      <c r="J13" s="5">
        <v>1.84</v>
      </c>
      <c r="K13" s="6">
        <f>2.52/J13*I13</f>
        <v>47.934782608695649</v>
      </c>
      <c r="L13" s="7">
        <f>E13*I13</f>
        <v>315</v>
      </c>
    </row>
    <row r="14" spans="1:12">
      <c r="A14" s="31"/>
      <c r="B14" s="3" t="s">
        <v>28</v>
      </c>
      <c r="C14" s="4">
        <v>46272</v>
      </c>
      <c r="D14" s="27">
        <v>42</v>
      </c>
      <c r="E14" s="32"/>
      <c r="F14" s="6">
        <f>IF(E13=0,0,D14/E13)</f>
        <v>4.666666666666667</v>
      </c>
      <c r="G14" s="33"/>
      <c r="H14" s="34"/>
      <c r="I14" s="34"/>
      <c r="J14" s="5">
        <v>0.81</v>
      </c>
      <c r="K14" s="6">
        <f>2.52/J14*I13</f>
        <v>108.88888888888887</v>
      </c>
      <c r="L14" s="7"/>
    </row>
    <row r="15" spans="1:12">
      <c r="A15" s="8" t="s">
        <v>29</v>
      </c>
      <c r="B15" s="3" t="s">
        <v>23</v>
      </c>
      <c r="C15" s="4">
        <v>46280</v>
      </c>
      <c r="D15" s="27">
        <v>782</v>
      </c>
      <c r="E15" s="9">
        <v>9</v>
      </c>
      <c r="F15" s="6">
        <f>IF(E15=0,0,D15/E15)</f>
        <v>86.888888888888886</v>
      </c>
      <c r="G15" s="10">
        <f>IF(E15=0,0,SUMPRODUCT(F15:F15,J15:J15)/(I15*2.52))</f>
        <v>1.5368102796674223</v>
      </c>
      <c r="H15" s="11">
        <f>G15*I15*E15</f>
        <v>484.09523809523807</v>
      </c>
      <c r="I15" s="11">
        <v>35</v>
      </c>
      <c r="J15" s="5">
        <v>1.56</v>
      </c>
      <c r="K15" s="6">
        <f>2.52/J15*I15</f>
        <v>56.53846153846154</v>
      </c>
      <c r="L15" s="7">
        <f>E15*I15</f>
        <v>315</v>
      </c>
    </row>
    <row r="16" spans="1:12">
      <c r="A16" s="8" t="s">
        <v>30</v>
      </c>
      <c r="B16" s="3" t="s">
        <v>31</v>
      </c>
      <c r="C16" s="4">
        <v>46240</v>
      </c>
      <c r="D16" s="27">
        <v>682</v>
      </c>
      <c r="E16" s="9">
        <v>9</v>
      </c>
      <c r="F16" s="6">
        <f>IF(E16=0,0,D16/E16)</f>
        <v>75.777777777777771</v>
      </c>
      <c r="G16" s="10">
        <f>IF(E16=0,0,SUMPRODUCT(F16:F16,J16:J16)/(I16*2.52))</f>
        <v>1.4141284141284141</v>
      </c>
      <c r="H16" s="11">
        <f>G16*I16*E16</f>
        <v>470.90476190476193</v>
      </c>
      <c r="I16" s="11">
        <v>37</v>
      </c>
      <c r="J16" s="5">
        <v>1.74</v>
      </c>
      <c r="K16" s="6">
        <f>2.52/J16*I16</f>
        <v>53.586206896551722</v>
      </c>
      <c r="L16" s="7">
        <f>E16*I16</f>
        <v>333</v>
      </c>
    </row>
    <row r="17" spans="1:12">
      <c r="A17" s="8" t="s">
        <v>32</v>
      </c>
      <c r="B17" s="3" t="s">
        <v>33</v>
      </c>
      <c r="C17" s="4">
        <v>46267</v>
      </c>
      <c r="D17" s="27">
        <v>1856</v>
      </c>
      <c r="E17" s="9">
        <v>9</v>
      </c>
      <c r="F17" s="6">
        <f>IF(E17=0,0,D17/E17)</f>
        <v>206.22222222222223</v>
      </c>
      <c r="G17" s="10">
        <f>IF(E17=0,0,SUMPRODUCT(F17:F17,J17:J17)/(I17*2.52))</f>
        <v>1.7503429355281208</v>
      </c>
      <c r="H17" s="11">
        <f>G17*I17*E17</f>
        <v>567.11111111111109</v>
      </c>
      <c r="I17" s="11">
        <v>36</v>
      </c>
      <c r="J17" s="5">
        <v>0.77</v>
      </c>
      <c r="K17" s="6">
        <f>2.52/J17*I17</f>
        <v>117.81818181818181</v>
      </c>
      <c r="L17" s="7">
        <f>E17*I17</f>
        <v>324</v>
      </c>
    </row>
    <row r="18" spans="1:12">
      <c r="A18" s="31" t="s">
        <v>34</v>
      </c>
      <c r="B18" s="3" t="s">
        <v>23</v>
      </c>
      <c r="C18" s="4">
        <v>46274</v>
      </c>
      <c r="D18" s="27">
        <v>252</v>
      </c>
      <c r="E18" s="32">
        <v>9</v>
      </c>
      <c r="F18" s="6">
        <f>IF(E18=0,0,D18/E18)</f>
        <v>28</v>
      </c>
      <c r="G18" s="33">
        <f>IF(E18=0,0,SUMPRODUCT(F18:F19,J18:J19)/(I18*2.52))</f>
        <v>1.6380070546737213</v>
      </c>
      <c r="H18" s="34">
        <f>G18*I18*E18</f>
        <v>530.71428571428567</v>
      </c>
      <c r="I18" s="34">
        <v>36</v>
      </c>
      <c r="J18" s="5">
        <v>1.56</v>
      </c>
      <c r="K18" s="6">
        <f>2.52/J18*I18</f>
        <v>58.153846153846153</v>
      </c>
      <c r="L18" s="7">
        <f>E18*I18</f>
        <v>324</v>
      </c>
    </row>
    <row r="19" spans="1:12">
      <c r="A19" s="31"/>
      <c r="B19" s="3" t="s">
        <v>23</v>
      </c>
      <c r="C19" s="4">
        <v>46274</v>
      </c>
      <c r="D19" s="27">
        <v>549</v>
      </c>
      <c r="E19" s="32"/>
      <c r="F19" s="6">
        <f>IF(E18=0,0,D19/E18)</f>
        <v>61</v>
      </c>
      <c r="G19" s="33"/>
      <c r="H19" s="34"/>
      <c r="I19" s="34"/>
      <c r="J19" s="5">
        <v>1.72</v>
      </c>
      <c r="K19" s="6">
        <f>2.52/J19*I18</f>
        <v>52.744186046511629</v>
      </c>
      <c r="L19" s="7"/>
    </row>
    <row r="20" spans="1:12">
      <c r="A20" s="8" t="s">
        <v>35</v>
      </c>
      <c r="B20" s="3" t="s">
        <v>17</v>
      </c>
      <c r="C20" s="4">
        <v>46281</v>
      </c>
      <c r="D20" s="27">
        <v>1255</v>
      </c>
      <c r="E20" s="9">
        <v>9</v>
      </c>
      <c r="F20" s="6">
        <f>IF(E20=0,0,D20/E20)</f>
        <v>139.44444444444446</v>
      </c>
      <c r="G20" s="10">
        <f>IF(E20=0,0,SUMPRODUCT(F20:F20,J20:J20)/(I20*2.52))</f>
        <v>2.1058078581226733</v>
      </c>
      <c r="H20" s="11">
        <f>G20*I20*E20</f>
        <v>682.28174603174614</v>
      </c>
      <c r="I20" s="11">
        <v>36</v>
      </c>
      <c r="J20" s="5">
        <v>1.37</v>
      </c>
      <c r="K20" s="6">
        <f>2.52/J20*I20</f>
        <v>66.21897810218978</v>
      </c>
      <c r="L20" s="7">
        <f>E20*I20</f>
        <v>324</v>
      </c>
    </row>
    <row r="21" spans="1:12">
      <c r="A21" s="8" t="s">
        <v>36</v>
      </c>
      <c r="B21" s="3" t="s">
        <v>21</v>
      </c>
      <c r="C21" s="4">
        <v>46255</v>
      </c>
      <c r="D21" s="27">
        <v>1751</v>
      </c>
      <c r="E21" s="9">
        <v>9</v>
      </c>
      <c r="F21" s="6">
        <f>IF(E21=0,0,D21/E21)</f>
        <v>194.55555555555554</v>
      </c>
      <c r="G21" s="10">
        <f>IF(E21=0,0,SUMPRODUCT(F21:F21,J21:J21)/(I21*2.52))</f>
        <v>1.8153510653510654</v>
      </c>
      <c r="H21" s="11">
        <f>G21*I21*E21</f>
        <v>604.51190476190482</v>
      </c>
      <c r="I21" s="11">
        <v>37</v>
      </c>
      <c r="J21" s="5">
        <v>0.87</v>
      </c>
      <c r="K21" s="6">
        <f>2.52/J21*I21</f>
        <v>107.17241379310344</v>
      </c>
      <c r="L21" s="7">
        <f>E21*I21</f>
        <v>333</v>
      </c>
    </row>
    <row r="22" spans="1:12">
      <c r="A22" s="31" t="s">
        <v>37</v>
      </c>
      <c r="B22" s="3" t="s">
        <v>38</v>
      </c>
      <c r="C22" s="4">
        <v>46192</v>
      </c>
      <c r="D22" s="27">
        <v>0</v>
      </c>
      <c r="E22" s="32">
        <v>8</v>
      </c>
      <c r="F22" s="6">
        <f>IF(E22=0,0,D22/E22)</f>
        <v>0</v>
      </c>
      <c r="G22" s="33">
        <f>IF(E22=0,0,SUMPRODUCT(F22:F23,J22:J23)/(I22*2.52))</f>
        <v>1.9170956670956671</v>
      </c>
      <c r="H22" s="34">
        <f>G22*I22*E22</f>
        <v>567.46031746031747</v>
      </c>
      <c r="I22" s="34">
        <v>37</v>
      </c>
      <c r="J22" s="5">
        <v>1.28</v>
      </c>
      <c r="K22" s="6">
        <f>2.52/J22*I22</f>
        <v>72.84375</v>
      </c>
      <c r="L22" s="7">
        <f>E22*I22</f>
        <v>296</v>
      </c>
    </row>
    <row r="23" spans="1:12">
      <c r="A23" s="31"/>
      <c r="B23" s="3" t="s">
        <v>19</v>
      </c>
      <c r="C23" s="4">
        <v>46209</v>
      </c>
      <c r="D23" s="27">
        <v>1100</v>
      </c>
      <c r="E23" s="32"/>
      <c r="F23" s="6">
        <f>IF(E22=0,0,D23/E22)</f>
        <v>137.5</v>
      </c>
      <c r="G23" s="33"/>
      <c r="H23" s="34"/>
      <c r="I23" s="34"/>
      <c r="J23" s="5">
        <v>1.3</v>
      </c>
      <c r="K23" s="6">
        <f>2.52/J23*I22</f>
        <v>71.723076923076917</v>
      </c>
      <c r="L23" s="7"/>
    </row>
    <row r="24" spans="1:12">
      <c r="A24" s="31" t="s">
        <v>39</v>
      </c>
      <c r="B24" s="3" t="s">
        <v>23</v>
      </c>
      <c r="C24" s="4">
        <v>46275</v>
      </c>
      <c r="D24" s="27">
        <v>658</v>
      </c>
      <c r="E24" s="32">
        <v>9</v>
      </c>
      <c r="F24" s="6">
        <f>IF(E24=0,0,D24/E24)</f>
        <v>73.111111111111114</v>
      </c>
      <c r="G24" s="33">
        <f>IF(E24=0,0,SUMPRODUCT(F24:F25,J24:J25)/(I24*2.52))</f>
        <v>1.8824892920131016</v>
      </c>
      <c r="H24" s="34">
        <f>G24*I24*E24</f>
        <v>592.98412698412699</v>
      </c>
      <c r="I24" s="34">
        <v>35</v>
      </c>
      <c r="J24" s="5">
        <v>1.56</v>
      </c>
      <c r="K24" s="6">
        <f>2.52/J24*I24</f>
        <v>56.53846153846154</v>
      </c>
      <c r="L24" s="7">
        <f>E24*I24</f>
        <v>315</v>
      </c>
    </row>
    <row r="25" spans="1:12">
      <c r="A25" s="31"/>
      <c r="B25" s="3" t="s">
        <v>23</v>
      </c>
      <c r="C25" s="4">
        <v>46275</v>
      </c>
      <c r="D25" s="27">
        <v>272</v>
      </c>
      <c r="E25" s="32"/>
      <c r="F25" s="6">
        <f>IF(E24=0,0,D25/E24)</f>
        <v>30.222222222222221</v>
      </c>
      <c r="G25" s="33"/>
      <c r="H25" s="34"/>
      <c r="I25" s="34"/>
      <c r="J25" s="5">
        <v>1.72</v>
      </c>
      <c r="K25" s="6">
        <f>2.52/J25*I24</f>
        <v>51.279069767441861</v>
      </c>
      <c r="L25" s="7"/>
    </row>
    <row r="26" spans="1:12">
      <c r="A26" s="31" t="s">
        <v>40</v>
      </c>
      <c r="B26" s="3" t="s">
        <v>41</v>
      </c>
      <c r="C26" s="4">
        <v>46203</v>
      </c>
      <c r="D26" s="27">
        <v>1479</v>
      </c>
      <c r="E26" s="32">
        <v>9</v>
      </c>
      <c r="F26" s="6">
        <f>IF(E26=0,0,D26/E26)</f>
        <v>164.33333333333334</v>
      </c>
      <c r="G26" s="33">
        <f>IF(E26=0,0,SUMPRODUCT(F26:F27,J26:J27)/(I26*2.52))</f>
        <v>1.4465143053106018</v>
      </c>
      <c r="H26" s="34">
        <f>G26*I26*E26</f>
        <v>468.670634920635</v>
      </c>
      <c r="I26" s="34">
        <v>36</v>
      </c>
      <c r="J26" s="5">
        <v>0.79</v>
      </c>
      <c r="K26" s="6">
        <f>2.52/J26*I26</f>
        <v>114.83544303797467</v>
      </c>
      <c r="L26" s="7">
        <f>E26*I26</f>
        <v>324</v>
      </c>
    </row>
    <row r="27" spans="1:12">
      <c r="A27" s="31"/>
      <c r="B27" s="3" t="s">
        <v>42</v>
      </c>
      <c r="C27" s="4">
        <v>46253</v>
      </c>
      <c r="D27" s="27">
        <v>16</v>
      </c>
      <c r="E27" s="32"/>
      <c r="F27" s="6">
        <f>IF(E26=0,0,D27/E26)</f>
        <v>1.7777777777777777</v>
      </c>
      <c r="G27" s="33"/>
      <c r="H27" s="34"/>
      <c r="I27" s="34"/>
      <c r="J27" s="5">
        <v>0.79</v>
      </c>
      <c r="K27" s="6">
        <f>2.52/J27*I26</f>
        <v>114.83544303797467</v>
      </c>
      <c r="L27" s="7"/>
    </row>
    <row r="28" spans="1:12">
      <c r="A28" s="8" t="s">
        <v>43</v>
      </c>
      <c r="B28" s="3" t="s">
        <v>17</v>
      </c>
      <c r="C28" s="4">
        <v>46280</v>
      </c>
      <c r="D28" s="27">
        <v>850</v>
      </c>
      <c r="E28" s="9">
        <v>8</v>
      </c>
      <c r="F28" s="6">
        <f>IF(E28=0,0,D28/E28)</f>
        <v>106.25</v>
      </c>
      <c r="G28" s="10">
        <f>IF(E28=0,0,SUMPRODUCT(F28:F28,J28:J28)/(I28*2.52))</f>
        <v>1.69890873015873</v>
      </c>
      <c r="H28" s="11">
        <f>G28*I28*E28</f>
        <v>462.10317460317458</v>
      </c>
      <c r="I28" s="11">
        <v>34</v>
      </c>
      <c r="J28" s="5">
        <v>1.37</v>
      </c>
      <c r="K28" s="6">
        <f>2.52/J28*I28</f>
        <v>62.540145985401459</v>
      </c>
      <c r="L28" s="7">
        <f>E28*I28</f>
        <v>272</v>
      </c>
    </row>
    <row r="29" spans="1:12">
      <c r="A29" s="8" t="s">
        <v>44</v>
      </c>
      <c r="B29" s="3" t="s">
        <v>45</v>
      </c>
      <c r="C29" s="4">
        <v>46286</v>
      </c>
      <c r="D29" s="27">
        <v>331</v>
      </c>
      <c r="E29" s="9">
        <v>8</v>
      </c>
      <c r="F29" s="6">
        <f>IF(E29=0,0,D29/E29)</f>
        <v>41.375</v>
      </c>
      <c r="G29" s="10">
        <f>IF(E29=0,0,SUMPRODUCT(F29:F29,J29:J29)/(I29*2.52))</f>
        <v>0.53360615079365081</v>
      </c>
      <c r="H29" s="11">
        <f>G29*I29*E29</f>
        <v>136.60317460317461</v>
      </c>
      <c r="I29" s="11">
        <v>32</v>
      </c>
      <c r="J29" s="5">
        <v>1.04</v>
      </c>
      <c r="K29" s="6">
        <f>2.52/J29*I29</f>
        <v>77.538461538461533</v>
      </c>
      <c r="L29" s="7">
        <f>E29*I29</f>
        <v>256</v>
      </c>
    </row>
    <row r="30" spans="1:12">
      <c r="A30" s="8" t="s">
        <v>46</v>
      </c>
      <c r="B30" s="3" t="s">
        <v>14</v>
      </c>
      <c r="C30" s="4">
        <v>46274</v>
      </c>
      <c r="D30" s="27">
        <v>1609</v>
      </c>
      <c r="E30" s="9">
        <v>9</v>
      </c>
      <c r="F30" s="6">
        <f>IF(E30=0,0,D30/E30)</f>
        <v>178.77777777777777</v>
      </c>
      <c r="G30" s="10">
        <f>IF(E30=0,0,SUMPRODUCT(F30:F30,J30:J30)/(I30*2.52))</f>
        <v>1.4935486865311425</v>
      </c>
      <c r="H30" s="11">
        <f>G30*I30*E30</f>
        <v>510.79365079365073</v>
      </c>
      <c r="I30" s="11">
        <v>38</v>
      </c>
      <c r="J30" s="5">
        <v>0.8</v>
      </c>
      <c r="K30" s="6">
        <f>2.52/J30*I30</f>
        <v>119.7</v>
      </c>
      <c r="L30" s="7">
        <f>E30*I30</f>
        <v>342</v>
      </c>
    </row>
    <row r="31" spans="1:12">
      <c r="A31" s="8" t="s">
        <v>47</v>
      </c>
      <c r="B31" s="3" t="s">
        <v>48</v>
      </c>
      <c r="C31" s="4">
        <v>46272</v>
      </c>
      <c r="D31" s="27">
        <v>241</v>
      </c>
      <c r="E31" s="9">
        <v>8</v>
      </c>
      <c r="F31" s="6">
        <f>IF(E31=0,0,D31/E31)</f>
        <v>30.125</v>
      </c>
      <c r="G31" s="10">
        <f>IF(E31=0,0,SUMPRODUCT(F31:F31,J31:J31)/(I31*2.52))</f>
        <v>0.43633432539682543</v>
      </c>
      <c r="H31" s="11">
        <f>G31*I31*E31</f>
        <v>139.62698412698413</v>
      </c>
      <c r="I31" s="11">
        <v>40</v>
      </c>
      <c r="J31" s="5">
        <v>1.46</v>
      </c>
      <c r="K31" s="6">
        <f>2.52/J31*I31</f>
        <v>69.041095890410958</v>
      </c>
      <c r="L31" s="7">
        <f>E31*I31</f>
        <v>320</v>
      </c>
    </row>
    <row r="32" spans="1:12">
      <c r="A32" s="35" t="s">
        <v>49</v>
      </c>
      <c r="B32" s="36"/>
      <c r="C32" s="37"/>
      <c r="D32" s="12">
        <f>SUM(D5:D31)</f>
        <v>21216</v>
      </c>
      <c r="E32" s="13">
        <f>SUM(E5:E31)</f>
        <v>176</v>
      </c>
      <c r="F32" s="14"/>
      <c r="G32" s="15">
        <f>SUM(H5:H31)/L32</f>
        <v>1.5616321231016284</v>
      </c>
      <c r="H32" s="12"/>
      <c r="I32" s="12">
        <f>SUM(I5:I31)</f>
        <v>710</v>
      </c>
      <c r="J32" s="12"/>
      <c r="K32" s="14"/>
      <c r="L32" s="16">
        <f>SUM(L5:L31)</f>
        <v>6247</v>
      </c>
    </row>
    <row r="33" spans="1:12">
      <c r="A33" s="17"/>
      <c r="B33" s="5"/>
      <c r="C33" s="4"/>
      <c r="D33" s="5"/>
      <c r="E33" s="18"/>
      <c r="F33" s="6"/>
      <c r="G33" s="19"/>
      <c r="H33" s="5"/>
      <c r="I33" s="5"/>
      <c r="J33" s="5"/>
      <c r="K33" s="6"/>
      <c r="L33" s="7"/>
    </row>
    <row r="34" spans="1:12" ht="13.5" thickBot="1">
      <c r="A34" s="28" t="s">
        <v>50</v>
      </c>
      <c r="B34" s="29"/>
      <c r="C34" s="30"/>
      <c r="D34" s="20">
        <f>SUMIF(A5:A33, "&lt;&gt;Summary", D5:D33)</f>
        <v>21216</v>
      </c>
      <c r="E34" s="21">
        <f>SUMIF(A5:A33, "&lt;&gt;Summary", E5:E33)</f>
        <v>176</v>
      </c>
      <c r="F34" s="22"/>
      <c r="G34" s="23">
        <f>SUMIF(A5:A33, "&lt;&gt;Summary", H5:H33)/L34</f>
        <v>1.5616321231016284</v>
      </c>
      <c r="H34" s="20"/>
      <c r="I34" s="20">
        <f>SUMIF(A5:A33, "&lt;&gt;Summary", I5:I33)</f>
        <v>710</v>
      </c>
      <c r="J34" s="20"/>
      <c r="K34" s="22"/>
      <c r="L34" s="24">
        <f>SUMIF(A5:A33, "&lt;&gt;Summary", L5:L33)</f>
        <v>6247</v>
      </c>
    </row>
    <row r="35" spans="1:12" ht="13.5" thickTop="1"/>
    <row r="36" spans="1:12">
      <c r="C36" s="25" t="s">
        <v>51</v>
      </c>
      <c r="D36" s="26">
        <f>SUM(H5:H11)/SUM(L5:L11)</f>
        <v>1.7464958693028867</v>
      </c>
    </row>
    <row r="37" spans="1:12">
      <c r="C37" s="25" t="s">
        <v>52</v>
      </c>
      <c r="D37" s="26">
        <f>SUM(H12:H17)/SUM(L12:L17)</f>
        <v>1.4805922160791072</v>
      </c>
    </row>
    <row r="38" spans="1:12">
      <c r="C38" s="25" t="s">
        <v>53</v>
      </c>
      <c r="D38" s="26">
        <f>SUM(H18:H25)/SUM(L18:L25)</f>
        <v>1.8705731036133044</v>
      </c>
    </row>
    <row r="39" spans="1:12">
      <c r="C39" s="25" t="s">
        <v>54</v>
      </c>
      <c r="D39" s="26">
        <f>SUM(H26:H31)/SUM(L26:L31)</f>
        <v>1.1346087312071462</v>
      </c>
    </row>
  </sheetData>
  <mergeCells count="4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0:A11"/>
    <mergeCell ref="E10:E11"/>
    <mergeCell ref="G10:G11"/>
    <mergeCell ref="H10:H11"/>
    <mergeCell ref="I10:I11"/>
    <mergeCell ref="A5:A6"/>
    <mergeCell ref="E5:E6"/>
    <mergeCell ref="G5:G6"/>
    <mergeCell ref="H5:H6"/>
    <mergeCell ref="I5:I6"/>
    <mergeCell ref="A18:A19"/>
    <mergeCell ref="E18:E19"/>
    <mergeCell ref="G18:G19"/>
    <mergeCell ref="H18:H19"/>
    <mergeCell ref="I18:I19"/>
    <mergeCell ref="A13:A14"/>
    <mergeCell ref="E13:E14"/>
    <mergeCell ref="G13:G14"/>
    <mergeCell ref="H13:H14"/>
    <mergeCell ref="I13:I14"/>
    <mergeCell ref="I26:I27"/>
    <mergeCell ref="A32:C32"/>
    <mergeCell ref="A22:A23"/>
    <mergeCell ref="E22:E23"/>
    <mergeCell ref="G22:G23"/>
    <mergeCell ref="H22:H23"/>
    <mergeCell ref="I22:I23"/>
    <mergeCell ref="A24:A25"/>
    <mergeCell ref="E24:E25"/>
    <mergeCell ref="G24:G25"/>
    <mergeCell ref="H24:H25"/>
    <mergeCell ref="I24:I25"/>
    <mergeCell ref="A34:C34"/>
    <mergeCell ref="A26:A27"/>
    <mergeCell ref="E26:E27"/>
    <mergeCell ref="G26:G27"/>
    <mergeCell ref="H26:H27"/>
  </mergeCells>
  <printOptions horizontalCentered="1"/>
  <pageMargins left="0.2" right="0.2" top="1" bottom="0.2" header="0.2" footer="0.2"/>
  <pageSetup paperSize="9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2026-09-25T01:29:39Z</cp:lastPrinted>
  <dcterms:created xsi:type="dcterms:W3CDTF">2026-09-25T00:32:21Z</dcterms:created>
  <dcterms:modified xsi:type="dcterms:W3CDTF">2026-09-25T01:32:58Z</dcterms:modified>
</cp:coreProperties>
</file>