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3" i="1"/>
  <c r="D52"/>
  <c r="D51"/>
  <c r="D50"/>
  <c r="I48"/>
  <c r="E48"/>
  <c r="D48"/>
  <c r="I47"/>
  <c r="E47"/>
  <c r="D47"/>
  <c r="L46"/>
  <c r="G46"/>
  <c r="H46" s="1"/>
  <c r="K46"/>
  <c r="F46"/>
  <c r="L44"/>
  <c r="K45"/>
  <c r="F45"/>
  <c r="K44"/>
  <c r="F44"/>
  <c r="G44" s="1"/>
  <c r="H44" s="1"/>
  <c r="L42"/>
  <c r="K43"/>
  <c r="F43"/>
  <c r="K42"/>
  <c r="F42"/>
  <c r="G42" s="1"/>
  <c r="H42" s="1"/>
  <c r="L41"/>
  <c r="G41"/>
  <c r="H41" s="1"/>
  <c r="K41"/>
  <c r="F41"/>
  <c r="L40"/>
  <c r="G40"/>
  <c r="H40" s="1"/>
  <c r="K40"/>
  <c r="F40"/>
  <c r="L36"/>
  <c r="K39"/>
  <c r="F39"/>
  <c r="K38"/>
  <c r="F38"/>
  <c r="K37"/>
  <c r="F37"/>
  <c r="K36"/>
  <c r="F36"/>
  <c r="G36" s="1"/>
  <c r="H36" s="1"/>
  <c r="L35"/>
  <c r="G35"/>
  <c r="H35" s="1"/>
  <c r="K35"/>
  <c r="F35"/>
  <c r="L33"/>
  <c r="K34"/>
  <c r="F34"/>
  <c r="K33"/>
  <c r="F33"/>
  <c r="G33" s="1"/>
  <c r="H33" s="1"/>
  <c r="L32"/>
  <c r="G32"/>
  <c r="H32" s="1"/>
  <c r="K32"/>
  <c r="F32"/>
  <c r="L31"/>
  <c r="K31"/>
  <c r="F31"/>
  <c r="G31" s="1"/>
  <c r="H31" s="1"/>
  <c r="L29"/>
  <c r="K30"/>
  <c r="F30"/>
  <c r="K29"/>
  <c r="F29"/>
  <c r="G29" s="1"/>
  <c r="H29" s="1"/>
  <c r="L22"/>
  <c r="K28"/>
  <c r="F28"/>
  <c r="K27"/>
  <c r="F27"/>
  <c r="K26"/>
  <c r="F26"/>
  <c r="K25"/>
  <c r="F25"/>
  <c r="K24"/>
  <c r="F24"/>
  <c r="K23"/>
  <c r="F23"/>
  <c r="K22"/>
  <c r="F22"/>
  <c r="G22" s="1"/>
  <c r="H22" s="1"/>
  <c r="L20"/>
  <c r="K21"/>
  <c r="F21"/>
  <c r="K20"/>
  <c r="F20"/>
  <c r="G20" s="1"/>
  <c r="H20" s="1"/>
  <c r="L18"/>
  <c r="K19"/>
  <c r="F19"/>
  <c r="K18"/>
  <c r="F18"/>
  <c r="G18" s="1"/>
  <c r="H18" s="1"/>
  <c r="L17"/>
  <c r="H17"/>
  <c r="G17"/>
  <c r="K17"/>
  <c r="F17"/>
  <c r="L12"/>
  <c r="K16"/>
  <c r="F16"/>
  <c r="K15"/>
  <c r="F15"/>
  <c r="K14"/>
  <c r="F14"/>
  <c r="K13"/>
  <c r="F13"/>
  <c r="K12"/>
  <c r="F12"/>
  <c r="G12" s="1"/>
  <c r="H12" s="1"/>
  <c r="L11"/>
  <c r="K11"/>
  <c r="F11"/>
  <c r="G11" s="1"/>
  <c r="H11" s="1"/>
  <c r="L9"/>
  <c r="K10"/>
  <c r="F10"/>
  <c r="K9"/>
  <c r="F9"/>
  <c r="G9" s="1"/>
  <c r="H9" s="1"/>
  <c r="L7"/>
  <c r="K8"/>
  <c r="F8"/>
  <c r="K7"/>
  <c r="F7"/>
  <c r="G7" s="1"/>
  <c r="H7" s="1"/>
  <c r="L5"/>
  <c r="L47" s="1"/>
  <c r="K6"/>
  <c r="F6"/>
  <c r="K5"/>
  <c r="F5"/>
  <c r="G5" s="1"/>
  <c r="H5" s="1"/>
  <c r="G47" l="1"/>
  <c r="L48"/>
  <c r="G48" s="1"/>
</calcChain>
</file>

<file path=xl/sharedStrings.xml><?xml version="1.0" encoding="utf-8"?>
<sst xmlns="http://schemas.openxmlformats.org/spreadsheetml/2006/main" count="81" uniqueCount="62">
  <si>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</si>
  <si>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</si>
  <si>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</si>
  <si>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</si>
  <si>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</si>
  <si>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</si>
  <si>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</si>
  <si>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</si>
  <si>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</si>
  <si>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</si>
  <si>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</si>
  <si>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</si>
  <si>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</si>
  <si>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</si>
  <si>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</si>
  <si>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</si>
  <si>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</si>
  <si>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</si>
  <si>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</si>
  <si>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</si>
  <si>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</si>
  <si>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</si>
  <si>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6ZE54X_C127</t>
  </si>
  <si>
    <t>5GK4L2_C127/2-Jumper</t>
  </si>
  <si>
    <t>5GK4L2_C127/3-Jumper</t>
  </si>
  <si>
    <t>5GK4L2_C127/1-Jumper</t>
  </si>
  <si>
    <t>6-06</t>
  </si>
  <si>
    <t>777362_VMI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</si>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</sst>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>
      <pane ySplit="4" topLeftCell="A16" activePane="bottomLeft" state="frozen"/>
      <selection pane="bottomLeft" activeCell="D5" sqref="D5:F4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46281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706</v>
      </c>
      <c r="E5" s="38">
        <v>9</v>
      </c>
      <c r="F5" s="39">
        <f>IF(E5=0,0,D5/E5)</f>
        <v>78.444444444444443</v>
      </c>
      <c r="G5" s="28">
        <f>IF(E5=0,0,SUMPRODUCT(F5:F6,J5:J6)/(I5*2.52))</f>
        <v>1.702659426343637</v>
      </c>
      <c r="H5" s="29">
        <f>G5*I5*E5</f>
        <v>582.30952380952385</v>
      </c>
      <c r="I5" s="29">
        <v>38</v>
      </c>
      <c r="J5" s="5">
        <v>1.62</v>
      </c>
      <c r="K5" s="6">
        <f>2.52/J5*I5</f>
        <v>59.1111111111111</v>
      </c>
      <c r="L5" s="7">
        <f>E5*I5</f>
        <v>342</v>
      </c>
    </row>
    <row r="6" spans="1:12">
      <c r="A6" s="27"/>
      <c r="B6" s="3" t="s">
        <v>14</v>
      </c>
      <c r="C6" s="4">
        <v>46265</v>
      </c>
      <c r="D6" s="37">
        <v>195</v>
      </c>
      <c r="E6" s="38"/>
      <c r="F6" s="39">
        <f>IF(E5=0,0,D6/E5)</f>
        <v>21.666666666666668</v>
      </c>
      <c r="G6" s="28"/>
      <c r="H6" s="29"/>
      <c r="I6" s="29"/>
      <c r="J6" s="5">
        <v>1.66</v>
      </c>
      <c r="K6" s="6">
        <f>2.52/J6*I5</f>
        <v>57.686746987951807</v>
      </c>
      <c r="L6" s="7"/>
    </row>
    <row r="7" spans="1:12">
      <c r="A7" s="27" t="s">
        <v>15</v>
      </c>
      <c r="B7" s="3" t="s">
        <v>16</v>
      </c>
      <c r="C7" s="4">
        <v>46265</v>
      </c>
      <c r="D7" s="37">
        <v>1687</v>
      </c>
      <c r="E7" s="38">
        <v>9</v>
      </c>
      <c r="F7" s="39">
        <f>IF(E7=0,0,D7/E7)</f>
        <v>187.44444444444446</v>
      </c>
      <c r="G7" s="28">
        <f>IF(E7=0,0,SUMPRODUCT(F7:F8,J7:J8)/(I7*2.52))</f>
        <v>1.6369047619047619</v>
      </c>
      <c r="H7" s="29">
        <f>G7*I7*E7</f>
        <v>530.35714285714289</v>
      </c>
      <c r="I7" s="29">
        <v>36</v>
      </c>
      <c r="J7" s="5">
        <v>0.78</v>
      </c>
      <c r="K7" s="6">
        <f>2.52/J7*I7</f>
        <v>116.30769230769231</v>
      </c>
      <c r="L7" s="7">
        <f>E7*I7</f>
        <v>324</v>
      </c>
    </row>
    <row r="8" spans="1:12">
      <c r="A8" s="27"/>
      <c r="B8" s="3" t="s">
        <v>16</v>
      </c>
      <c r="C8" s="4">
        <v>46265</v>
      </c>
      <c r="D8" s="37">
        <v>24</v>
      </c>
      <c r="E8" s="38"/>
      <c r="F8" s="39">
        <f>IF(E7=0,0,D8/E7)</f>
        <v>2.6666666666666665</v>
      </c>
      <c r="G8" s="28"/>
      <c r="H8" s="29"/>
      <c r="I8" s="29"/>
      <c r="J8" s="5">
        <v>0.86</v>
      </c>
      <c r="K8" s="6">
        <f>2.52/J8*I7</f>
        <v>105.48837209302326</v>
      </c>
      <c r="L8" s="7"/>
    </row>
    <row r="9" spans="1:12">
      <c r="A9" s="27" t="s">
        <v>17</v>
      </c>
      <c r="B9" s="3" t="s">
        <v>18</v>
      </c>
      <c r="C9" s="4">
        <v>46275</v>
      </c>
      <c r="D9" s="37">
        <v>1199</v>
      </c>
      <c r="E9" s="38">
        <v>9</v>
      </c>
      <c r="F9" s="39">
        <f>IF(E9=0,0,D9/E9)</f>
        <v>133.22222222222223</v>
      </c>
      <c r="G9" s="28">
        <f>IF(E9=0,0,SUMPRODUCT(F9:F10,J9:J10)/(I9*2.52))</f>
        <v>1.300216883550217</v>
      </c>
      <c r="H9" s="29">
        <f>G9*I9*E9</f>
        <v>432.97222222222229</v>
      </c>
      <c r="I9" s="29">
        <v>37</v>
      </c>
      <c r="J9" s="5">
        <v>0.91</v>
      </c>
      <c r="K9" s="6">
        <f>2.52/J9*I9</f>
        <v>102.46153846153845</v>
      </c>
      <c r="L9" s="7">
        <f>E9*I9</f>
        <v>333</v>
      </c>
    </row>
    <row r="10" spans="1:12">
      <c r="A10" s="27"/>
      <c r="B10" s="3" t="s">
        <v>18</v>
      </c>
      <c r="C10" s="4">
        <v>46275</v>
      </c>
      <c r="D10" s="37">
        <v>0</v>
      </c>
      <c r="E10" s="38"/>
      <c r="F10" s="39">
        <f>IF(E9=0,0,D10/E9)</f>
        <v>0</v>
      </c>
      <c r="G10" s="28"/>
      <c r="H10" s="29"/>
      <c r="I10" s="29"/>
      <c r="J10" s="5">
        <v>0.95</v>
      </c>
      <c r="K10" s="6">
        <f>2.52/J10*I9</f>
        <v>98.147368421052647</v>
      </c>
      <c r="L10" s="7"/>
    </row>
    <row r="11" spans="1:12">
      <c r="A11" s="8" t="s">
        <v>19</v>
      </c>
      <c r="B11" s="3" t="s">
        <v>20</v>
      </c>
      <c r="C11" s="4">
        <v>46273</v>
      </c>
      <c r="D11" s="37">
        <v>1138</v>
      </c>
      <c r="E11" s="40">
        <v>9</v>
      </c>
      <c r="F11" s="39">
        <f>IF(E11=0,0,D11/E11)</f>
        <v>126.44444444444444</v>
      </c>
      <c r="G11" s="9">
        <f>IF(E11=0,0,SUMPRODUCT(F11:F11,J11:J11)/(I11*2.52))</f>
        <v>1.4216637272192827</v>
      </c>
      <c r="H11" s="10">
        <f>G11*I11*E11</f>
        <v>460.61904761904759</v>
      </c>
      <c r="I11" s="10">
        <v>36</v>
      </c>
      <c r="J11" s="5">
        <v>1.02</v>
      </c>
      <c r="K11" s="6">
        <f>2.52/J11*I11</f>
        <v>88.941176470588232</v>
      </c>
      <c r="L11" s="7">
        <f>E11*I11</f>
        <v>324</v>
      </c>
    </row>
    <row r="12" spans="1:12">
      <c r="A12" s="27" t="s">
        <v>21</v>
      </c>
      <c r="B12" s="3" t="s">
        <v>22</v>
      </c>
      <c r="C12" s="4"/>
      <c r="D12" s="37">
        <v>0</v>
      </c>
      <c r="E12" s="38">
        <v>8</v>
      </c>
      <c r="F12" s="39">
        <f>IF(E12=0,0,D12/E12)</f>
        <v>0</v>
      </c>
      <c r="G12" s="28">
        <f>IF(E12=0,0,SUMPRODUCT(F12:F16,J12:J16)/(I12*2.52))</f>
        <v>0.97131283068783081</v>
      </c>
      <c r="H12" s="29">
        <f>G12*I12*E12</f>
        <v>279.7380952380953</v>
      </c>
      <c r="I12" s="29">
        <v>36</v>
      </c>
      <c r="J12" s="5">
        <v>1.7</v>
      </c>
      <c r="K12" s="6">
        <f>2.52/J12*I12</f>
        <v>53.364705882352943</v>
      </c>
      <c r="L12" s="7">
        <f>E12*I12</f>
        <v>288</v>
      </c>
    </row>
    <row r="13" spans="1:12">
      <c r="A13" s="27"/>
      <c r="B13" s="5" t="s">
        <v>23</v>
      </c>
      <c r="C13" s="4">
        <v>46275</v>
      </c>
      <c r="D13" s="37">
        <v>0</v>
      </c>
      <c r="E13" s="38"/>
      <c r="F13" s="39">
        <f>IF(E12=0,0,D13/E12)</f>
        <v>0</v>
      </c>
      <c r="G13" s="28"/>
      <c r="H13" s="29"/>
      <c r="I13" s="29"/>
      <c r="J13" s="5">
        <v>1.54</v>
      </c>
      <c r="K13" s="6">
        <f>2.52/J13*I12</f>
        <v>58.909090909090907</v>
      </c>
      <c r="L13" s="7"/>
    </row>
    <row r="14" spans="1:12">
      <c r="A14" s="27"/>
      <c r="B14" s="5" t="s">
        <v>24</v>
      </c>
      <c r="C14" s="4">
        <v>46275</v>
      </c>
      <c r="D14" s="37">
        <v>11</v>
      </c>
      <c r="E14" s="38"/>
      <c r="F14" s="39">
        <f>IF(E12=0,0,D14/E12)</f>
        <v>1.375</v>
      </c>
      <c r="G14" s="28"/>
      <c r="H14" s="29"/>
      <c r="I14" s="29"/>
      <c r="J14" s="5">
        <v>1.54</v>
      </c>
      <c r="K14" s="6">
        <f>2.52/J14*I12</f>
        <v>58.909090909090907</v>
      </c>
      <c r="L14" s="7"/>
    </row>
    <row r="15" spans="1:12">
      <c r="A15" s="27"/>
      <c r="B15" s="5" t="s">
        <v>25</v>
      </c>
      <c r="C15" s="4">
        <v>46275</v>
      </c>
      <c r="D15" s="37">
        <v>224</v>
      </c>
      <c r="E15" s="38"/>
      <c r="F15" s="39">
        <f>IF(E12=0,0,D15/E12)</f>
        <v>28</v>
      </c>
      <c r="G15" s="28"/>
      <c r="H15" s="29"/>
      <c r="I15" s="29"/>
      <c r="J15" s="5">
        <v>1.6</v>
      </c>
      <c r="K15" s="6">
        <f>2.52/J15*I12</f>
        <v>56.699999999999996</v>
      </c>
      <c r="L15" s="7"/>
    </row>
    <row r="16" spans="1:12">
      <c r="A16" s="27"/>
      <c r="B16" s="5" t="s">
        <v>23</v>
      </c>
      <c r="C16" s="4">
        <v>46275</v>
      </c>
      <c r="D16" s="37">
        <v>206</v>
      </c>
      <c r="E16" s="38"/>
      <c r="F16" s="39">
        <f>IF(E12=0,0,D16/E12)</f>
        <v>25.75</v>
      </c>
      <c r="G16" s="28"/>
      <c r="H16" s="29"/>
      <c r="I16" s="29"/>
      <c r="J16" s="5">
        <v>1.6</v>
      </c>
      <c r="K16" s="6">
        <f>2.52/J16*I12</f>
        <v>56.699999999999996</v>
      </c>
      <c r="L16" s="7"/>
    </row>
    <row r="17" spans="1:12">
      <c r="A17" s="8" t="s">
        <v>26</v>
      </c>
      <c r="B17" s="3" t="s">
        <v>27</v>
      </c>
      <c r="C17" s="4">
        <v>46122</v>
      </c>
      <c r="D17" s="37">
        <v>1660</v>
      </c>
      <c r="E17" s="40">
        <v>9</v>
      </c>
      <c r="F17" s="39">
        <f>IF(E17=0,0,D17/E17)</f>
        <v>184.44444444444446</v>
      </c>
      <c r="G17" s="9">
        <f>IF(E17=0,0,SUMPRODUCT(F17:F17,J17:J17)/(I17*2.52))</f>
        <v>2.1957671957671958</v>
      </c>
      <c r="H17" s="10">
        <f>G17*I17*E17</f>
        <v>691.66666666666663</v>
      </c>
      <c r="I17" s="10">
        <v>35</v>
      </c>
      <c r="J17" s="5">
        <v>1.05</v>
      </c>
      <c r="K17" s="6">
        <f>2.52/J17*I17</f>
        <v>84</v>
      </c>
      <c r="L17" s="7">
        <f>E17*I17</f>
        <v>315</v>
      </c>
    </row>
    <row r="18" spans="1:12">
      <c r="A18" s="27" t="s">
        <v>28</v>
      </c>
      <c r="B18" s="3" t="s">
        <v>29</v>
      </c>
      <c r="C18" s="4">
        <v>46255</v>
      </c>
      <c r="D18" s="37">
        <v>2510</v>
      </c>
      <c r="E18" s="38">
        <v>9</v>
      </c>
      <c r="F18" s="39">
        <f>IF(E18=0,0,D18/E18)</f>
        <v>278.88888888888891</v>
      </c>
      <c r="G18" s="28">
        <f>IF(E18=0,0,SUMPRODUCT(F18:F19,J18:J19)/(I18*2.52))</f>
        <v>2.0520282186948853</v>
      </c>
      <c r="H18" s="29">
        <f>G18*I18*E18</f>
        <v>701.79365079365084</v>
      </c>
      <c r="I18" s="29">
        <v>38</v>
      </c>
      <c r="J18" s="5">
        <v>0.7</v>
      </c>
      <c r="K18" s="6">
        <f>2.52/J18*I18</f>
        <v>136.80000000000001</v>
      </c>
      <c r="L18" s="7">
        <f>E18*I18</f>
        <v>342</v>
      </c>
    </row>
    <row r="19" spans="1:12">
      <c r="A19" s="27"/>
      <c r="B19" s="3" t="s">
        <v>29</v>
      </c>
      <c r="C19" s="4">
        <v>46255</v>
      </c>
      <c r="D19" s="37">
        <v>16</v>
      </c>
      <c r="E19" s="38"/>
      <c r="F19" s="39">
        <f>IF(E18=0,0,D19/E18)</f>
        <v>1.7777777777777777</v>
      </c>
      <c r="G19" s="28"/>
      <c r="H19" s="29"/>
      <c r="I19" s="29"/>
      <c r="J19" s="5">
        <v>0.72</v>
      </c>
      <c r="K19" s="6">
        <f>2.52/J19*I18</f>
        <v>133</v>
      </c>
      <c r="L19" s="7"/>
    </row>
    <row r="20" spans="1:12">
      <c r="A20" s="27" t="s">
        <v>30</v>
      </c>
      <c r="B20" s="3" t="s">
        <v>14</v>
      </c>
      <c r="C20" s="4">
        <v>46267</v>
      </c>
      <c r="D20" s="37">
        <v>784</v>
      </c>
      <c r="E20" s="38">
        <v>9</v>
      </c>
      <c r="F20" s="39">
        <f>IF(E20=0,0,D20/E20)</f>
        <v>87.111111111111114</v>
      </c>
      <c r="G20" s="28">
        <f>IF(E20=0,0,SUMPRODUCT(F20:F21,J20:J21)/(I20*2.52))</f>
        <v>1.5451642118308786</v>
      </c>
      <c r="H20" s="29">
        <f>G20*I20*E20</f>
        <v>514.53968253968253</v>
      </c>
      <c r="I20" s="29">
        <v>37</v>
      </c>
      <c r="J20" s="5">
        <v>1.62</v>
      </c>
      <c r="K20" s="6">
        <f>2.52/J20*I20</f>
        <v>57.55555555555555</v>
      </c>
      <c r="L20" s="7">
        <f>E20*I20</f>
        <v>333</v>
      </c>
    </row>
    <row r="21" spans="1:12">
      <c r="A21" s="27"/>
      <c r="B21" s="3" t="s">
        <v>14</v>
      </c>
      <c r="C21" s="4">
        <v>46267</v>
      </c>
      <c r="D21" s="37">
        <v>16</v>
      </c>
      <c r="E21" s="38"/>
      <c r="F21" s="39">
        <f>IF(E20=0,0,D21/E20)</f>
        <v>1.7777777777777777</v>
      </c>
      <c r="G21" s="28"/>
      <c r="H21" s="29"/>
      <c r="I21" s="29"/>
      <c r="J21" s="5">
        <v>1.66</v>
      </c>
      <c r="K21" s="6">
        <f>2.52/J21*I20</f>
        <v>56.168674698795179</v>
      </c>
      <c r="L21" s="7"/>
    </row>
    <row r="22" spans="1:12">
      <c r="A22" s="27" t="s">
        <v>31</v>
      </c>
      <c r="B22" s="5" t="s">
        <v>32</v>
      </c>
      <c r="C22" s="4">
        <v>46206</v>
      </c>
      <c r="D22" s="37">
        <v>76</v>
      </c>
      <c r="E22" s="38">
        <v>9</v>
      </c>
      <c r="F22" s="39">
        <f>IF(E22=0,0,D22/E22)</f>
        <v>8.4444444444444446</v>
      </c>
      <c r="G22" s="28">
        <f>IF(E22=0,0,SUMPRODUCT(F22:F28,J22:J28)/(I22*2.52))</f>
        <v>2.6120155564600012</v>
      </c>
      <c r="H22" s="29">
        <f>G22*I22*E22</f>
        <v>916.81746031746047</v>
      </c>
      <c r="I22" s="29">
        <v>39</v>
      </c>
      <c r="J22" s="5">
        <v>0.2</v>
      </c>
      <c r="K22" s="6">
        <f>2.52/J22*I22</f>
        <v>491.4</v>
      </c>
      <c r="L22" s="7">
        <f>E22*I22</f>
        <v>351</v>
      </c>
    </row>
    <row r="23" spans="1:12">
      <c r="A23" s="27"/>
      <c r="B23" s="5" t="s">
        <v>33</v>
      </c>
      <c r="C23" s="4">
        <v>46206</v>
      </c>
      <c r="D23" s="37">
        <v>4089</v>
      </c>
      <c r="E23" s="38"/>
      <c r="F23" s="39">
        <f>IF(E22=0,0,D23/E22)</f>
        <v>454.33333333333331</v>
      </c>
      <c r="G23" s="28"/>
      <c r="H23" s="29"/>
      <c r="I23" s="29"/>
      <c r="J23" s="5">
        <v>0.2</v>
      </c>
      <c r="K23" s="6">
        <f>2.52/J23*I22</f>
        <v>491.4</v>
      </c>
      <c r="L23" s="7"/>
    </row>
    <row r="24" spans="1:12">
      <c r="A24" s="27"/>
      <c r="B24" s="5" t="s">
        <v>34</v>
      </c>
      <c r="C24" s="4">
        <v>46206</v>
      </c>
      <c r="D24" s="37">
        <v>1936</v>
      </c>
      <c r="E24" s="38"/>
      <c r="F24" s="39">
        <f>IF(E22=0,0,D24/E22)</f>
        <v>215.11111111111111</v>
      </c>
      <c r="G24" s="28"/>
      <c r="H24" s="29"/>
      <c r="I24" s="29"/>
      <c r="J24" s="5">
        <v>0.2</v>
      </c>
      <c r="K24" s="6">
        <f>2.52/J24*I22</f>
        <v>491.4</v>
      </c>
      <c r="L24" s="7"/>
    </row>
    <row r="25" spans="1:12">
      <c r="A25" s="27"/>
      <c r="B25" s="5" t="s">
        <v>35</v>
      </c>
      <c r="C25" s="4">
        <v>46206</v>
      </c>
      <c r="D25" s="37">
        <v>3479</v>
      </c>
      <c r="E25" s="38"/>
      <c r="F25" s="39">
        <f>IF(E22=0,0,D25/E22)</f>
        <v>386.55555555555554</v>
      </c>
      <c r="G25" s="28"/>
      <c r="H25" s="29"/>
      <c r="I25" s="29"/>
      <c r="J25" s="5">
        <v>0.2</v>
      </c>
      <c r="K25" s="6">
        <f>2.52/J25*I22</f>
        <v>491.4</v>
      </c>
      <c r="L25" s="7"/>
    </row>
    <row r="26" spans="1:12">
      <c r="A26" s="27"/>
      <c r="B26" s="5" t="s">
        <v>36</v>
      </c>
      <c r="C26" s="4">
        <v>46206</v>
      </c>
      <c r="D26" s="37">
        <v>1528</v>
      </c>
      <c r="E26" s="38"/>
      <c r="F26" s="39">
        <f>IF(E22=0,0,D26/E22)</f>
        <v>169.77777777777777</v>
      </c>
      <c r="G26" s="28"/>
      <c r="H26" s="29"/>
      <c r="I26" s="29"/>
      <c r="J26" s="5">
        <v>0.21</v>
      </c>
      <c r="K26" s="6">
        <f>2.52/J26*I22</f>
        <v>468</v>
      </c>
      <c r="L26" s="7"/>
    </row>
    <row r="27" spans="1:12">
      <c r="A27" s="27"/>
      <c r="B27" s="5" t="s">
        <v>37</v>
      </c>
      <c r="C27" s="4">
        <v>46206</v>
      </c>
      <c r="D27" s="37">
        <v>333</v>
      </c>
      <c r="E27" s="38"/>
      <c r="F27" s="39">
        <f>IF(E22=0,0,D27/E22)</f>
        <v>37</v>
      </c>
      <c r="G27" s="28"/>
      <c r="H27" s="29"/>
      <c r="I27" s="29"/>
      <c r="J27" s="5">
        <v>0.21</v>
      </c>
      <c r="K27" s="6">
        <f>2.52/J27*I22</f>
        <v>468</v>
      </c>
      <c r="L27" s="7"/>
    </row>
    <row r="28" spans="1:12">
      <c r="A28" s="27"/>
      <c r="B28" s="5" t="s">
        <v>38</v>
      </c>
      <c r="C28" s="4">
        <v>46206</v>
      </c>
      <c r="D28" s="37">
        <v>17</v>
      </c>
      <c r="E28" s="38"/>
      <c r="F28" s="39">
        <f>IF(E22=0,0,D28/E22)</f>
        <v>1.8888888888888888</v>
      </c>
      <c r="G28" s="28"/>
      <c r="H28" s="29"/>
      <c r="I28" s="29"/>
      <c r="J28" s="5">
        <v>0.21</v>
      </c>
      <c r="K28" s="6">
        <f>2.52/J28*I22</f>
        <v>468</v>
      </c>
      <c r="L28" s="7"/>
    </row>
    <row r="29" spans="1:12">
      <c r="A29" s="27" t="s">
        <v>39</v>
      </c>
      <c r="B29" s="3" t="s">
        <v>40</v>
      </c>
      <c r="C29" s="4">
        <v>46260</v>
      </c>
      <c r="D29" s="37">
        <v>456</v>
      </c>
      <c r="E29" s="38">
        <v>9</v>
      </c>
      <c r="F29" s="39">
        <f>IF(E29=0,0,D29/E29)</f>
        <v>50.666666666666664</v>
      </c>
      <c r="G29" s="28">
        <f>IF(E29=0,0,SUMPRODUCT(F29:F30,J29:J30)/(I29*2.52))</f>
        <v>1.1996007250636882</v>
      </c>
      <c r="H29" s="29">
        <f>G29*I29*E29</f>
        <v>388.67063492063494</v>
      </c>
      <c r="I29" s="29">
        <v>36</v>
      </c>
      <c r="J29" s="5">
        <v>0.55000000000000004</v>
      </c>
      <c r="K29" s="6">
        <f>2.52/J29*I29</f>
        <v>164.94545454545451</v>
      </c>
      <c r="L29" s="7">
        <f>E29*I29</f>
        <v>324</v>
      </c>
    </row>
    <row r="30" spans="1:12">
      <c r="A30" s="27"/>
      <c r="B30" s="3" t="s">
        <v>40</v>
      </c>
      <c r="C30" s="4">
        <v>46260</v>
      </c>
      <c r="D30" s="37">
        <v>1235</v>
      </c>
      <c r="E30" s="38"/>
      <c r="F30" s="39">
        <f>IF(E29=0,0,D30/E29)</f>
        <v>137.22222222222223</v>
      </c>
      <c r="G30" s="28"/>
      <c r="H30" s="29"/>
      <c r="I30" s="29"/>
      <c r="J30" s="5">
        <v>0.59</v>
      </c>
      <c r="K30" s="6">
        <f>2.52/J30*I29</f>
        <v>153.76271186440678</v>
      </c>
      <c r="L30" s="7"/>
    </row>
    <row r="31" spans="1:12">
      <c r="A31" s="8" t="s">
        <v>41</v>
      </c>
      <c r="B31" s="3" t="s">
        <v>20</v>
      </c>
      <c r="C31" s="4">
        <v>46258</v>
      </c>
      <c r="D31" s="37">
        <v>1350</v>
      </c>
      <c r="E31" s="40">
        <v>9</v>
      </c>
      <c r="F31" s="39">
        <f>IF(E31=0,0,D31/E31)</f>
        <v>150</v>
      </c>
      <c r="G31" s="9">
        <f>IF(E31=0,0,SUMPRODUCT(F31:F31,J31:J31)/(I31*2.52))</f>
        <v>1.9969278033794162</v>
      </c>
      <c r="H31" s="10">
        <f>G31*I31*E31</f>
        <v>557.14285714285711</v>
      </c>
      <c r="I31" s="10">
        <v>31</v>
      </c>
      <c r="J31" s="5">
        <v>1.04</v>
      </c>
      <c r="K31" s="6">
        <f>2.52/J31*I31</f>
        <v>75.115384615384613</v>
      </c>
      <c r="L31" s="7">
        <f>E31*I31</f>
        <v>279</v>
      </c>
    </row>
    <row r="32" spans="1:12">
      <c r="A32" s="8" t="s">
        <v>42</v>
      </c>
      <c r="B32" s="3" t="s">
        <v>43</v>
      </c>
      <c r="C32" s="4">
        <v>46276</v>
      </c>
      <c r="D32" s="37">
        <v>828</v>
      </c>
      <c r="E32" s="40">
        <v>9</v>
      </c>
      <c r="F32" s="39">
        <f>IF(E32=0,0,D32/E32)</f>
        <v>92</v>
      </c>
      <c r="G32" s="9">
        <f>IF(E32=0,0,SUMPRODUCT(F32:F32,J32:J32)/(I32*2.52))</f>
        <v>1.0853710853710854</v>
      </c>
      <c r="H32" s="10">
        <f>G32*I32*E32</f>
        <v>361.42857142857144</v>
      </c>
      <c r="I32" s="10">
        <v>37</v>
      </c>
      <c r="J32" s="5">
        <v>1.1000000000000001</v>
      </c>
      <c r="K32" s="6">
        <f>2.52/J32*I32</f>
        <v>84.763636363636351</v>
      </c>
      <c r="L32" s="7">
        <f>E32*I32</f>
        <v>333</v>
      </c>
    </row>
    <row r="33" spans="1:12">
      <c r="A33" s="27" t="s">
        <v>44</v>
      </c>
      <c r="B33" s="3" t="s">
        <v>40</v>
      </c>
      <c r="C33" s="4">
        <v>46267</v>
      </c>
      <c r="D33" s="37">
        <v>592</v>
      </c>
      <c r="E33" s="38">
        <v>9</v>
      </c>
      <c r="F33" s="39">
        <f>IF(E33=0,0,D33/E33)</f>
        <v>65.777777777777771</v>
      </c>
      <c r="G33" s="28">
        <f>IF(E33=0,0,SUMPRODUCT(F33:F34,J33:J34)/(I33*2.52))</f>
        <v>1.6276392038296799</v>
      </c>
      <c r="H33" s="29">
        <f>G33*I33*E33</f>
        <v>512.70634920634916</v>
      </c>
      <c r="I33" s="29">
        <v>35</v>
      </c>
      <c r="J33" s="5">
        <v>0.55000000000000004</v>
      </c>
      <c r="K33" s="6">
        <f>2.52/J33*I33</f>
        <v>160.36363636363635</v>
      </c>
      <c r="L33" s="7">
        <f>E33*I33</f>
        <v>315</v>
      </c>
    </row>
    <row r="34" spans="1:12">
      <c r="A34" s="27"/>
      <c r="B34" s="3" t="s">
        <v>40</v>
      </c>
      <c r="C34" s="4">
        <v>46267</v>
      </c>
      <c r="D34" s="37">
        <v>1638</v>
      </c>
      <c r="E34" s="38"/>
      <c r="F34" s="39">
        <f>IF(E33=0,0,D34/E33)</f>
        <v>182</v>
      </c>
      <c r="G34" s="28"/>
      <c r="H34" s="29"/>
      <c r="I34" s="29"/>
      <c r="J34" s="5">
        <v>0.59</v>
      </c>
      <c r="K34" s="6">
        <f>2.52/J34*I33</f>
        <v>149.49152542372883</v>
      </c>
      <c r="L34" s="7"/>
    </row>
    <row r="35" spans="1:12">
      <c r="A35" s="8" t="s">
        <v>45</v>
      </c>
      <c r="B35" s="3" t="s">
        <v>46</v>
      </c>
      <c r="C35" s="4">
        <v>46246</v>
      </c>
      <c r="D35" s="37">
        <v>853</v>
      </c>
      <c r="E35" s="40">
        <v>9</v>
      </c>
      <c r="F35" s="39">
        <f>IF(E35=0,0,D35/E35)</f>
        <v>94.777777777777771</v>
      </c>
      <c r="G35" s="9">
        <f>IF(E35=0,0,SUMPRODUCT(F35:F35,J35:J35)/(I35*2.52))</f>
        <v>1.5349039515706184</v>
      </c>
      <c r="H35" s="10">
        <f>G35*I35*E35</f>
        <v>511.1230158730159</v>
      </c>
      <c r="I35" s="10">
        <v>37</v>
      </c>
      <c r="J35" s="5">
        <v>1.51</v>
      </c>
      <c r="K35" s="6">
        <f>2.52/J35*I35</f>
        <v>61.748344370860927</v>
      </c>
      <c r="L35" s="7">
        <f>E35*I35</f>
        <v>333</v>
      </c>
    </row>
    <row r="36" spans="1:12">
      <c r="A36" s="27" t="s">
        <v>47</v>
      </c>
      <c r="B36" s="3" t="s">
        <v>48</v>
      </c>
      <c r="C36" s="4">
        <v>46253</v>
      </c>
      <c r="D36" s="37">
        <v>593</v>
      </c>
      <c r="E36" s="38">
        <v>9</v>
      </c>
      <c r="F36" s="39">
        <f>IF(E36=0,0,D36/E36)</f>
        <v>65.888888888888886</v>
      </c>
      <c r="G36" s="28">
        <f>IF(E36=0,0,SUMPRODUCT(F36:F39,J36:J39)/(I36*2.52))</f>
        <v>1.4565451695081322</v>
      </c>
      <c r="H36" s="29">
        <f>G36*I36*E36</f>
        <v>471.92063492063482</v>
      </c>
      <c r="I36" s="29">
        <v>36</v>
      </c>
      <c r="J36" s="5">
        <v>1.47</v>
      </c>
      <c r="K36" s="6">
        <f>2.52/J36*I36</f>
        <v>61.714285714285722</v>
      </c>
      <c r="L36" s="7">
        <f>E36*I36</f>
        <v>324</v>
      </c>
    </row>
    <row r="37" spans="1:12">
      <c r="A37" s="27"/>
      <c r="B37" s="3" t="s">
        <v>48</v>
      </c>
      <c r="C37" s="4">
        <v>46253</v>
      </c>
      <c r="D37" s="37">
        <v>89</v>
      </c>
      <c r="E37" s="38"/>
      <c r="F37" s="39">
        <f>IF(E36=0,0,D37/E36)</f>
        <v>9.8888888888888893</v>
      </c>
      <c r="G37" s="28"/>
      <c r="H37" s="29"/>
      <c r="I37" s="29"/>
      <c r="J37" s="5">
        <v>1.51</v>
      </c>
      <c r="K37" s="6">
        <f>2.52/J37*I36</f>
        <v>60.079470198675502</v>
      </c>
      <c r="L37" s="7"/>
    </row>
    <row r="38" spans="1:12">
      <c r="A38" s="27"/>
      <c r="B38" s="3" t="s">
        <v>14</v>
      </c>
      <c r="C38" s="4">
        <v>46275</v>
      </c>
      <c r="D38" s="37">
        <v>111</v>
      </c>
      <c r="E38" s="38"/>
      <c r="F38" s="39">
        <f>IF(E36=0,0,D38/E36)</f>
        <v>12.333333333333334</v>
      </c>
      <c r="G38" s="28"/>
      <c r="H38" s="29"/>
      <c r="I38" s="29"/>
      <c r="J38" s="5">
        <v>1.62</v>
      </c>
      <c r="K38" s="6">
        <f>2.52/J38*I36</f>
        <v>55.999999999999993</v>
      </c>
      <c r="L38" s="7"/>
    </row>
    <row r="39" spans="1:12">
      <c r="A39" s="27"/>
      <c r="B39" s="3" t="s">
        <v>14</v>
      </c>
      <c r="C39" s="4">
        <v>46275</v>
      </c>
      <c r="D39" s="37">
        <v>2</v>
      </c>
      <c r="E39" s="38"/>
      <c r="F39" s="39">
        <f>IF(E36=0,0,D39/E36)</f>
        <v>0.22222222222222221</v>
      </c>
      <c r="G39" s="28"/>
      <c r="H39" s="29"/>
      <c r="I39" s="29"/>
      <c r="J39" s="5">
        <v>1.66</v>
      </c>
      <c r="K39" s="6">
        <f>2.52/J39*I36</f>
        <v>54.650602409638552</v>
      </c>
      <c r="L39" s="7"/>
    </row>
    <row r="40" spans="1:12">
      <c r="A40" s="8" t="s">
        <v>49</v>
      </c>
      <c r="B40" s="3" t="s">
        <v>27</v>
      </c>
      <c r="C40" s="4">
        <v>46122</v>
      </c>
      <c r="D40" s="37">
        <v>1742</v>
      </c>
      <c r="E40" s="40">
        <v>9</v>
      </c>
      <c r="F40" s="39">
        <f>IF(E40=0,0,D40/E40)</f>
        <v>193.55555555555554</v>
      </c>
      <c r="G40" s="9">
        <f>IF(E40=0,0,SUMPRODUCT(F40:F40,J40:J40)/(I40*2.52))</f>
        <v>2.1223196881091617</v>
      </c>
      <c r="H40" s="10">
        <f>G40*I40*E40</f>
        <v>725.83333333333337</v>
      </c>
      <c r="I40" s="10">
        <v>38</v>
      </c>
      <c r="J40" s="5">
        <v>1.05</v>
      </c>
      <c r="K40" s="6">
        <f>2.52/J40*I40</f>
        <v>91.2</v>
      </c>
      <c r="L40" s="7">
        <f>E40*I40</f>
        <v>342</v>
      </c>
    </row>
    <row r="41" spans="1:12">
      <c r="A41" s="8" t="s">
        <v>50</v>
      </c>
      <c r="B41" s="3" t="s">
        <v>20</v>
      </c>
      <c r="C41" s="4">
        <v>46267</v>
      </c>
      <c r="D41" s="37">
        <v>1533</v>
      </c>
      <c r="E41" s="40">
        <v>9</v>
      </c>
      <c r="F41" s="39">
        <f>IF(E41=0,0,D41/E41)</f>
        <v>170.33333333333334</v>
      </c>
      <c r="G41" s="9">
        <f>IF(E41=0,0,SUMPRODUCT(F41:F41,J41:J41)/(I41*2.52))</f>
        <v>2.0653292181069962</v>
      </c>
      <c r="H41" s="10">
        <f>G41*I41*E41</f>
        <v>669.16666666666674</v>
      </c>
      <c r="I41" s="10">
        <v>36</v>
      </c>
      <c r="J41" s="5">
        <v>1.1000000000000001</v>
      </c>
      <c r="K41" s="6">
        <f>2.52/J41*I41</f>
        <v>82.472727272727255</v>
      </c>
      <c r="L41" s="7">
        <f>E41*I41</f>
        <v>324</v>
      </c>
    </row>
    <row r="42" spans="1:12">
      <c r="A42" s="27" t="s">
        <v>51</v>
      </c>
      <c r="B42" s="3" t="s">
        <v>52</v>
      </c>
      <c r="C42" s="4">
        <v>46267</v>
      </c>
      <c r="D42" s="37">
        <v>285</v>
      </c>
      <c r="E42" s="38">
        <v>9</v>
      </c>
      <c r="F42" s="39">
        <f>IF(E42=0,0,D42/E42)</f>
        <v>31.666666666666668</v>
      </c>
      <c r="G42" s="28">
        <f>IF(E42=0,0,SUMPRODUCT(F42:F43,J42:J43)/(I42*2.52))</f>
        <v>2.0460178223336118</v>
      </c>
      <c r="H42" s="29">
        <f>G42*I42*E42</f>
        <v>699.7380952380953</v>
      </c>
      <c r="I42" s="29">
        <v>38</v>
      </c>
      <c r="J42" s="5">
        <v>0.76</v>
      </c>
      <c r="K42" s="6">
        <f>2.52/J42*I42</f>
        <v>126</v>
      </c>
      <c r="L42" s="7">
        <f>E42*I42</f>
        <v>342</v>
      </c>
    </row>
    <row r="43" spans="1:12">
      <c r="A43" s="27"/>
      <c r="B43" s="3" t="s">
        <v>52</v>
      </c>
      <c r="C43" s="4">
        <v>46267</v>
      </c>
      <c r="D43" s="37">
        <v>1983</v>
      </c>
      <c r="E43" s="38"/>
      <c r="F43" s="39">
        <f>IF(E42=0,0,D43/E42)</f>
        <v>220.33333333333334</v>
      </c>
      <c r="G43" s="28"/>
      <c r="H43" s="29"/>
      <c r="I43" s="29"/>
      <c r="J43" s="5">
        <v>0.78</v>
      </c>
      <c r="K43" s="6">
        <f>2.52/J43*I42</f>
        <v>122.76923076923077</v>
      </c>
      <c r="L43" s="7"/>
    </row>
    <row r="44" spans="1:12">
      <c r="A44" s="27" t="s">
        <v>53</v>
      </c>
      <c r="B44" s="3" t="s">
        <v>40</v>
      </c>
      <c r="C44" s="4">
        <v>46266</v>
      </c>
      <c r="D44" s="37">
        <v>810</v>
      </c>
      <c r="E44" s="38">
        <v>9</v>
      </c>
      <c r="F44" s="39">
        <f>IF(E44=0,0,D44/E44)</f>
        <v>90</v>
      </c>
      <c r="G44" s="28">
        <f>IF(E44=0,0,SUMPRODUCT(F44:F45,J44:J45)/(I44*2.52))</f>
        <v>1.6776180942847612</v>
      </c>
      <c r="H44" s="29">
        <f>G44*I44*E44</f>
        <v>558.64682539682553</v>
      </c>
      <c r="I44" s="29">
        <v>37</v>
      </c>
      <c r="J44" s="5">
        <v>0.55000000000000004</v>
      </c>
      <c r="K44" s="6">
        <f>2.52/J44*I44</f>
        <v>169.5272727272727</v>
      </c>
      <c r="L44" s="7">
        <f>E44*I44</f>
        <v>333</v>
      </c>
    </row>
    <row r="45" spans="1:12">
      <c r="A45" s="27"/>
      <c r="B45" s="3" t="s">
        <v>40</v>
      </c>
      <c r="C45" s="4">
        <v>46266</v>
      </c>
      <c r="D45" s="37">
        <v>1631</v>
      </c>
      <c r="E45" s="38"/>
      <c r="F45" s="39">
        <f>IF(E44=0,0,D45/E44)</f>
        <v>181.22222222222223</v>
      </c>
      <c r="G45" s="28"/>
      <c r="H45" s="29"/>
      <c r="I45" s="29"/>
      <c r="J45" s="5">
        <v>0.59</v>
      </c>
      <c r="K45" s="6">
        <f>2.52/J45*I44</f>
        <v>158.03389830508476</v>
      </c>
      <c r="L45" s="7"/>
    </row>
    <row r="46" spans="1:12">
      <c r="A46" s="8" t="s">
        <v>54</v>
      </c>
      <c r="B46" s="3" t="s">
        <v>55</v>
      </c>
      <c r="C46" s="4">
        <v>46255</v>
      </c>
      <c r="D46" s="37">
        <v>1056</v>
      </c>
      <c r="E46" s="40">
        <v>9</v>
      </c>
      <c r="F46" s="39">
        <f>IF(E46=0,0,D46/E46)</f>
        <v>117.33333333333333</v>
      </c>
      <c r="G46" s="9">
        <f>IF(E46=0,0,SUMPRODUCT(F46:F46,J46:J46)/(I46*2.52))</f>
        <v>1.6425631981187536</v>
      </c>
      <c r="H46" s="10">
        <f>G46*I46*E46</f>
        <v>532.19047619047615</v>
      </c>
      <c r="I46" s="10">
        <v>36</v>
      </c>
      <c r="J46" s="5">
        <v>1.27</v>
      </c>
      <c r="K46" s="6">
        <f>2.52/J46*I46</f>
        <v>71.433070866141733</v>
      </c>
      <c r="L46" s="7">
        <f>E46*I46</f>
        <v>324</v>
      </c>
    </row>
    <row r="47" spans="1:12">
      <c r="A47" s="21" t="s">
        <v>56</v>
      </c>
      <c r="B47" s="22"/>
      <c r="C47" s="23"/>
      <c r="D47" s="11">
        <f>SUM(D5:D46)</f>
        <v>38621</v>
      </c>
      <c r="E47" s="12">
        <f>SUM(E5:E46)</f>
        <v>179</v>
      </c>
      <c r="F47" s="13"/>
      <c r="G47" s="14">
        <f>SUM(H5:H46)/L47</f>
        <v>1.7010545520890352</v>
      </c>
      <c r="H47" s="11"/>
      <c r="I47" s="11">
        <f>SUM(I5:I46)</f>
        <v>729</v>
      </c>
      <c r="J47" s="11"/>
      <c r="K47" s="13"/>
      <c r="L47" s="15">
        <f>SUM(L5:L46)</f>
        <v>6525</v>
      </c>
    </row>
    <row r="48" spans="1:12" ht="13.5" thickBot="1">
      <c r="A48" s="24" t="s">
        <v>57</v>
      </c>
      <c r="B48" s="25"/>
      <c r="C48" s="26"/>
      <c r="D48" s="16">
        <f>SUMIF(A5:A47, "&lt;&gt;Summary", D5:D47)</f>
        <v>38621</v>
      </c>
      <c r="E48" s="17">
        <f>SUMIF(A5:A47, "&lt;&gt;Summary", E5:E47)</f>
        <v>179</v>
      </c>
      <c r="F48" s="18"/>
      <c r="G48" s="19">
        <f>SUMIF(A5:A47, "&lt;&gt;Summary", H5:H47)/L48</f>
        <v>1.7010545520890352</v>
      </c>
      <c r="H48" s="16"/>
      <c r="I48" s="16">
        <f>SUMIF(A5:A47, "&lt;&gt;Summary", I5:I47)</f>
        <v>729</v>
      </c>
      <c r="J48" s="16"/>
      <c r="K48" s="18"/>
      <c r="L48" s="20">
        <f>SUMIF(A5:A47, "&lt;&gt;Summary", L5:L47)</f>
        <v>6525</v>
      </c>
    </row>
    <row r="49" spans="3:4" ht="13.5" thickTop="1"/>
    <row r="50" spans="3:4">
      <c r="C50" s="36" t="s">
        <v>58</v>
      </c>
      <c r="D50" s="36">
        <f>SUM(H5:H16)/SUM(L5:L16)</f>
        <v>1.4189919501837569</v>
      </c>
    </row>
    <row r="51" spans="3:4">
      <c r="C51" s="36" t="s">
        <v>59</v>
      </c>
      <c r="D51" s="36">
        <f>SUM(H17:H30)/SUM(L17:L30)</f>
        <v>1.93002288002288</v>
      </c>
    </row>
    <row r="52" spans="3:4">
      <c r="C52" s="36" t="s">
        <v>60</v>
      </c>
      <c r="D52" s="36">
        <f>SUM(H31:H39)/SUM(L31:L39)</f>
        <v>1.5241928210678211</v>
      </c>
    </row>
    <row r="53" spans="3:4">
      <c r="C53" s="36" t="s">
        <v>61</v>
      </c>
      <c r="D53" s="36">
        <f>SUM(H40:H46)/SUM(L40:L46)</f>
        <v>1.91325849659183</v>
      </c>
    </row>
  </sheetData>
  <mergeCells count="7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8"/>
    <mergeCell ref="E7:E8"/>
    <mergeCell ref="G7:G8"/>
    <mergeCell ref="H7:H8"/>
    <mergeCell ref="I7:I8"/>
    <mergeCell ref="A5:A6"/>
    <mergeCell ref="E5:E6"/>
    <mergeCell ref="G5:G6"/>
    <mergeCell ref="H5:H6"/>
    <mergeCell ref="I5:I6"/>
    <mergeCell ref="A12:A16"/>
    <mergeCell ref="E12:E16"/>
    <mergeCell ref="G12:G16"/>
    <mergeCell ref="H12:H16"/>
    <mergeCell ref="I12:I16"/>
    <mergeCell ref="A9:A10"/>
    <mergeCell ref="E9:E10"/>
    <mergeCell ref="G9:G10"/>
    <mergeCell ref="H9:H10"/>
    <mergeCell ref="I9:I10"/>
    <mergeCell ref="A20:A21"/>
    <mergeCell ref="E20:E21"/>
    <mergeCell ref="G20:G21"/>
    <mergeCell ref="H20:H21"/>
    <mergeCell ref="I20:I21"/>
    <mergeCell ref="A18:A19"/>
    <mergeCell ref="E18:E19"/>
    <mergeCell ref="G18:G19"/>
    <mergeCell ref="H18:H19"/>
    <mergeCell ref="I18:I19"/>
    <mergeCell ref="A29:A30"/>
    <mergeCell ref="E29:E30"/>
    <mergeCell ref="G29:G30"/>
    <mergeCell ref="H29:H30"/>
    <mergeCell ref="I29:I30"/>
    <mergeCell ref="A22:A28"/>
    <mergeCell ref="E22:E28"/>
    <mergeCell ref="G22:G28"/>
    <mergeCell ref="H22:H28"/>
    <mergeCell ref="I22:I28"/>
    <mergeCell ref="A36:A39"/>
    <mergeCell ref="E36:E39"/>
    <mergeCell ref="G36:G39"/>
    <mergeCell ref="H36:H39"/>
    <mergeCell ref="I36:I39"/>
    <mergeCell ref="A33:A34"/>
    <mergeCell ref="E33:E34"/>
    <mergeCell ref="G33:G34"/>
    <mergeCell ref="H33:H34"/>
    <mergeCell ref="I33:I34"/>
    <mergeCell ref="H42:H43"/>
    <mergeCell ref="I42:I43"/>
    <mergeCell ref="A44:A45"/>
    <mergeCell ref="E44:E45"/>
    <mergeCell ref="G44:G45"/>
    <mergeCell ref="H44:H45"/>
    <mergeCell ref="I44:I45"/>
    <mergeCell ref="A47:C47"/>
    <mergeCell ref="A48:C48"/>
    <mergeCell ref="A42:A43"/>
    <mergeCell ref="E42:E43"/>
    <mergeCell ref="G42:G43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2026-09-17T00:57:45Z</dcterms:created>
  <dcterms:modified xsi:type="dcterms:W3CDTF">2026-09-17T00:59:44Z</dcterms:modified>
</cp:coreProperties>
</file>