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075" windowHeight="1183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5" i="1"/>
  <c r="D54"/>
  <c r="D53"/>
  <c r="D52"/>
  <c r="I50"/>
  <c r="E50"/>
  <c r="D50"/>
  <c r="I49"/>
  <c r="E49"/>
  <c r="D49"/>
  <c r="L48"/>
  <c r="G48"/>
  <c r="H48" s="1"/>
  <c r="K48"/>
  <c r="F48"/>
  <c r="L46"/>
  <c r="K47"/>
  <c r="F47"/>
  <c r="K46"/>
  <c r="F46"/>
  <c r="G46" s="1"/>
  <c r="H46" s="1"/>
  <c r="L44"/>
  <c r="K45"/>
  <c r="F45"/>
  <c r="K44"/>
  <c r="F44"/>
  <c r="G44" s="1"/>
  <c r="H44" s="1"/>
  <c r="L43"/>
  <c r="G43"/>
  <c r="H43" s="1"/>
  <c r="K43"/>
  <c r="F43"/>
  <c r="L42"/>
  <c r="G42"/>
  <c r="H42" s="1"/>
  <c r="K42"/>
  <c r="F42"/>
  <c r="L38"/>
  <c r="K41"/>
  <c r="F41"/>
  <c r="K40"/>
  <c r="F40"/>
  <c r="K39"/>
  <c r="F39"/>
  <c r="K38"/>
  <c r="F38"/>
  <c r="G38" s="1"/>
  <c r="H38" s="1"/>
  <c r="L37"/>
  <c r="G37"/>
  <c r="H37" s="1"/>
  <c r="K37"/>
  <c r="F37"/>
  <c r="L35"/>
  <c r="K36"/>
  <c r="F36"/>
  <c r="K35"/>
  <c r="F35"/>
  <c r="G35" s="1"/>
  <c r="H35" s="1"/>
  <c r="L33"/>
  <c r="K34"/>
  <c r="F34"/>
  <c r="K33"/>
  <c r="F33"/>
  <c r="G33" s="1"/>
  <c r="H33" s="1"/>
  <c r="L32"/>
  <c r="G32"/>
  <c r="H32" s="1"/>
  <c r="K32"/>
  <c r="F32"/>
  <c r="L30"/>
  <c r="K31"/>
  <c r="F31"/>
  <c r="K30"/>
  <c r="F30"/>
  <c r="G30" s="1"/>
  <c r="H30" s="1"/>
  <c r="L23"/>
  <c r="K29"/>
  <c r="F29"/>
  <c r="K28"/>
  <c r="F28"/>
  <c r="K27"/>
  <c r="F27"/>
  <c r="K26"/>
  <c r="F26"/>
  <c r="K25"/>
  <c r="F25"/>
  <c r="K24"/>
  <c r="F24"/>
  <c r="G23" s="1"/>
  <c r="H23" s="1"/>
  <c r="K23"/>
  <c r="F23"/>
  <c r="L21"/>
  <c r="K22"/>
  <c r="F22"/>
  <c r="K21"/>
  <c r="F21"/>
  <c r="G21" s="1"/>
  <c r="H21" s="1"/>
  <c r="L19"/>
  <c r="K20"/>
  <c r="F20"/>
  <c r="K19"/>
  <c r="F19"/>
  <c r="G19" s="1"/>
  <c r="H19" s="1"/>
  <c r="L17"/>
  <c r="K18"/>
  <c r="F18"/>
  <c r="K17"/>
  <c r="F17"/>
  <c r="G17" s="1"/>
  <c r="H17" s="1"/>
  <c r="L11"/>
  <c r="K16"/>
  <c r="F16"/>
  <c r="K15"/>
  <c r="F15"/>
  <c r="K14"/>
  <c r="F14"/>
  <c r="K13"/>
  <c r="F13"/>
  <c r="K12"/>
  <c r="F12"/>
  <c r="K11"/>
  <c r="F11"/>
  <c r="G11" s="1"/>
  <c r="H11" s="1"/>
  <c r="L10"/>
  <c r="G10"/>
  <c r="H10" s="1"/>
  <c r="K10"/>
  <c r="F10"/>
  <c r="L9"/>
  <c r="K9"/>
  <c r="F9"/>
  <c r="G9" s="1"/>
  <c r="H9" s="1"/>
  <c r="L7"/>
  <c r="K8"/>
  <c r="F8"/>
  <c r="K7"/>
  <c r="F7"/>
  <c r="G7" s="1"/>
  <c r="H7" s="1"/>
  <c r="L5"/>
  <c r="L50" s="1"/>
  <c r="G50" s="1"/>
  <c r="K6"/>
  <c r="F6"/>
  <c r="K5"/>
  <c r="F5"/>
  <c r="G5" s="1"/>
  <c r="H5" s="1"/>
  <c r="L49" l="1"/>
  <c r="G49" s="1"/>
</calcChain>
</file>

<file path=xl/sharedStrings.xml><?xml version="1.0" encoding="utf-8"?>
<sst xmlns="http://schemas.openxmlformats.org/spreadsheetml/2006/main" count="83" uniqueCount="63">
  <si>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</si>
  <si>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</si>
  <si>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</si>
  <si>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</si>
  <si>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</si>
  <si>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</si>
  <si>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</si>
  <si>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</si>
  <si>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</si>
  <si>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</si>
  <si>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</si>
  <si>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</si>
  <si>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</si>
  <si>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</si>
  <si>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PST840</t>
  </si>
  <si>
    <t>6-02</t>
  </si>
  <si>
    <t>X048GZ_C127</t>
  </si>
  <si>
    <t>6-03</t>
  </si>
  <si>
    <t>1196262_HO26_PF</t>
  </si>
  <si>
    <t>6-04</t>
  </si>
  <si>
    <t>MRLPMM_3PC_C127</t>
  </si>
  <si>
    <t>6-05</t>
  </si>
  <si>
    <t>5GK4L2_C127/1-Jumper</t>
  </si>
  <si>
    <t>5GK4L2_C127/2-Jumper</t>
  </si>
  <si>
    <t>5GK4L2_C127/3-Jumper</t>
  </si>
  <si>
    <t>6-06</t>
  </si>
  <si>
    <t>777362_VMI</t>
  </si>
  <si>
    <t>777362_HO26_GLD</t>
  </si>
  <si>
    <t>6-07</t>
  </si>
  <si>
    <t>352E6Y_SL_C127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</si>
  <si>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</si>
  <si>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</si>
  <si>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</si>
  <si>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</si>
  <si>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</si>
  <si>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</si>
  <si>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</si>
  <si>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</si>
  <si>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</si>
  <si>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</si>
  <si>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</si>
  <si>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6-11</t>
  </si>
  <si>
    <t>6-12</t>
  </si>
  <si>
    <t>ZC6HY000</t>
  </si>
  <si>
    <t>9KM9L2_C127</t>
  </si>
  <si>
    <t>6-13</t>
  </si>
  <si>
    <t>6-14</t>
  </si>
  <si>
    <t>00GG4Z_C127IND</t>
  </si>
  <si>
    <t>6-15</t>
  </si>
  <si>
    <t>LPST840</t>
  </si>
  <si>
    <t>6-16</t>
  </si>
  <si>
    <t>6-17</t>
  </si>
  <si>
    <t>6-18</t>
  </si>
  <si>
    <t>352E6Y_LL_C127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</si>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</sst>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>
      <pane ySplit="4" topLeftCell="A17" activePane="bottomLeft" state="frozen"/>
      <selection pane="bottomLeft" activeCell="D5" sqref="D5:F48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46280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4" t="s">
        <v>13</v>
      </c>
      <c r="B5" s="3" t="s">
        <v>14</v>
      </c>
      <c r="C5" s="4">
        <v>46265</v>
      </c>
      <c r="D5" s="37">
        <v>759</v>
      </c>
      <c r="E5" s="38">
        <v>9</v>
      </c>
      <c r="F5" s="39">
        <f>IF(E5=0,0,D5/E5)</f>
        <v>84.333333333333329</v>
      </c>
      <c r="G5" s="25">
        <f>IF(E5=0,0,SUMPRODUCT(F5:F6,J5:J6)/(I5*2.52))</f>
        <v>1.5345539775364336</v>
      </c>
      <c r="H5" s="26">
        <f>G5*I5*E5</f>
        <v>524.81746031746036</v>
      </c>
      <c r="I5" s="26">
        <v>38</v>
      </c>
      <c r="J5" s="5">
        <v>1.62</v>
      </c>
      <c r="K5" s="6">
        <f>2.52/J5*I5</f>
        <v>59.1111111111111</v>
      </c>
      <c r="L5" s="7">
        <f>E5*I5</f>
        <v>342</v>
      </c>
    </row>
    <row r="6" spans="1:12">
      <c r="A6" s="24"/>
      <c r="B6" s="3" t="s">
        <v>14</v>
      </c>
      <c r="C6" s="4">
        <v>46265</v>
      </c>
      <c r="D6" s="37">
        <v>56</v>
      </c>
      <c r="E6" s="38"/>
      <c r="F6" s="39">
        <f>IF(E5=0,0,D6/E5)</f>
        <v>6.2222222222222223</v>
      </c>
      <c r="G6" s="25"/>
      <c r="H6" s="26"/>
      <c r="I6" s="26"/>
      <c r="J6" s="5">
        <v>1.66</v>
      </c>
      <c r="K6" s="6">
        <f>2.52/J6*I5</f>
        <v>57.686746987951807</v>
      </c>
      <c r="L6" s="7"/>
    </row>
    <row r="7" spans="1:12">
      <c r="A7" s="24" t="s">
        <v>15</v>
      </c>
      <c r="B7" s="3" t="s">
        <v>16</v>
      </c>
      <c r="C7" s="4">
        <v>46265</v>
      </c>
      <c r="D7" s="37">
        <v>1769</v>
      </c>
      <c r="E7" s="38">
        <v>9</v>
      </c>
      <c r="F7" s="39">
        <f>IF(E7=0,0,D7/E7)</f>
        <v>196.55555555555554</v>
      </c>
      <c r="G7" s="25">
        <f>IF(E7=0,0,SUMPRODUCT(F7:F8,J7:J8)/(I7*2.52))</f>
        <v>1.7289339604154419</v>
      </c>
      <c r="H7" s="26">
        <f>G7*I7*E7</f>
        <v>560.17460317460325</v>
      </c>
      <c r="I7" s="26">
        <v>36</v>
      </c>
      <c r="J7" s="5">
        <v>0.78</v>
      </c>
      <c r="K7" s="6">
        <f>2.52/J7*I7</f>
        <v>116.30769230769231</v>
      </c>
      <c r="L7" s="7">
        <f>E7*I7</f>
        <v>324</v>
      </c>
    </row>
    <row r="8" spans="1:12">
      <c r="A8" s="24"/>
      <c r="B8" s="3" t="s">
        <v>16</v>
      </c>
      <c r="C8" s="4">
        <v>46265</v>
      </c>
      <c r="D8" s="37">
        <v>37</v>
      </c>
      <c r="E8" s="38"/>
      <c r="F8" s="39">
        <f>IF(E7=0,0,D8/E7)</f>
        <v>4.1111111111111107</v>
      </c>
      <c r="G8" s="25"/>
      <c r="H8" s="26"/>
      <c r="I8" s="26"/>
      <c r="J8" s="5">
        <v>0.86</v>
      </c>
      <c r="K8" s="6">
        <f>2.52/J8*I7</f>
        <v>105.48837209302326</v>
      </c>
      <c r="L8" s="7"/>
    </row>
    <row r="9" spans="1:12">
      <c r="A9" s="8" t="s">
        <v>17</v>
      </c>
      <c r="B9" s="3" t="s">
        <v>18</v>
      </c>
      <c r="C9" s="4">
        <v>46275</v>
      </c>
      <c r="D9" s="37">
        <v>1174</v>
      </c>
      <c r="E9" s="40">
        <v>9</v>
      </c>
      <c r="F9" s="39">
        <f>IF(E9=0,0,D9/E9)</f>
        <v>130.44444444444446</v>
      </c>
      <c r="G9" s="9">
        <f>IF(E9=0,0,SUMPRODUCT(F9:F9,J9:J9)/(I9*2.52))</f>
        <v>1.2731064397731067</v>
      </c>
      <c r="H9" s="10">
        <f>G9*I9*E9</f>
        <v>423.94444444444451</v>
      </c>
      <c r="I9" s="10">
        <v>37</v>
      </c>
      <c r="J9" s="5">
        <v>0.91</v>
      </c>
      <c r="K9" s="6">
        <f>2.52/J9*I9</f>
        <v>102.46153846153845</v>
      </c>
      <c r="L9" s="7">
        <f>E9*I9</f>
        <v>333</v>
      </c>
    </row>
    <row r="10" spans="1:12">
      <c r="A10" s="8" t="s">
        <v>19</v>
      </c>
      <c r="B10" s="3" t="s">
        <v>20</v>
      </c>
      <c r="C10" s="4">
        <v>46273</v>
      </c>
      <c r="D10" s="37">
        <v>1247</v>
      </c>
      <c r="E10" s="40">
        <v>9</v>
      </c>
      <c r="F10" s="39">
        <f>IF(E10=0,0,D10/E10)</f>
        <v>138.55555555555554</v>
      </c>
      <c r="G10" s="9">
        <f>IF(E10=0,0,SUMPRODUCT(F10:F10,J10:J10)/(I10*2.52))</f>
        <v>1.5157300157300158</v>
      </c>
      <c r="H10" s="10">
        <f>G10*I10*E10</f>
        <v>504.73809523809524</v>
      </c>
      <c r="I10" s="10">
        <v>37</v>
      </c>
      <c r="J10" s="5">
        <v>1.02</v>
      </c>
      <c r="K10" s="6">
        <f>2.52/J10*I10</f>
        <v>91.411764705882362</v>
      </c>
      <c r="L10" s="7">
        <f>E10*I10</f>
        <v>333</v>
      </c>
    </row>
    <row r="11" spans="1:12">
      <c r="A11" s="24" t="s">
        <v>21</v>
      </c>
      <c r="B11" s="5" t="s">
        <v>22</v>
      </c>
      <c r="C11" s="4">
        <v>46275</v>
      </c>
      <c r="D11" s="37">
        <v>99</v>
      </c>
      <c r="E11" s="38">
        <v>9</v>
      </c>
      <c r="F11" s="39">
        <f>IF(E11=0,0,D11/E11)</f>
        <v>11</v>
      </c>
      <c r="G11" s="25">
        <f>IF(E11=0,0,SUMPRODUCT(F11:F16,J11:J16)/(I11*2.52))</f>
        <v>1.0327013521457966</v>
      </c>
      <c r="H11" s="26">
        <f>G11*I11*E11</f>
        <v>334.59523809523807</v>
      </c>
      <c r="I11" s="26">
        <v>36</v>
      </c>
      <c r="J11" s="5">
        <v>1.54</v>
      </c>
      <c r="K11" s="6">
        <f>2.52/J11*I11</f>
        <v>58.909090909090907</v>
      </c>
      <c r="L11" s="7">
        <f>E11*I11</f>
        <v>324</v>
      </c>
    </row>
    <row r="12" spans="1:12">
      <c r="A12" s="24"/>
      <c r="B12" s="5" t="s">
        <v>23</v>
      </c>
      <c r="C12" s="4">
        <v>46275</v>
      </c>
      <c r="D12" s="37">
        <v>0</v>
      </c>
      <c r="E12" s="38"/>
      <c r="F12" s="39">
        <f>IF(E11=0,0,D12/E11)</f>
        <v>0</v>
      </c>
      <c r="G12" s="25"/>
      <c r="H12" s="26"/>
      <c r="I12" s="26"/>
      <c r="J12" s="5">
        <v>1.54</v>
      </c>
      <c r="K12" s="6">
        <f>2.52/J12*I11</f>
        <v>58.909090909090907</v>
      </c>
      <c r="L12" s="7"/>
    </row>
    <row r="13" spans="1:12">
      <c r="A13" s="24"/>
      <c r="B13" s="5" t="s">
        <v>24</v>
      </c>
      <c r="C13" s="4">
        <v>46275</v>
      </c>
      <c r="D13" s="37">
        <v>88</v>
      </c>
      <c r="E13" s="38"/>
      <c r="F13" s="39">
        <f>IF(E11=0,0,D13/E11)</f>
        <v>9.7777777777777786</v>
      </c>
      <c r="G13" s="25"/>
      <c r="H13" s="26"/>
      <c r="I13" s="26"/>
      <c r="J13" s="5">
        <v>1.54</v>
      </c>
      <c r="K13" s="6">
        <f>2.52/J13*I11</f>
        <v>58.909090909090907</v>
      </c>
      <c r="L13" s="7"/>
    </row>
    <row r="14" spans="1:12">
      <c r="A14" s="24"/>
      <c r="B14" s="5" t="s">
        <v>22</v>
      </c>
      <c r="C14" s="4">
        <v>46275</v>
      </c>
      <c r="D14" s="37">
        <v>112</v>
      </c>
      <c r="E14" s="38"/>
      <c r="F14" s="39">
        <f>IF(E11=0,0,D14/E11)</f>
        <v>12.444444444444445</v>
      </c>
      <c r="G14" s="25"/>
      <c r="H14" s="26"/>
      <c r="I14" s="26"/>
      <c r="J14" s="5">
        <v>1.6</v>
      </c>
      <c r="K14" s="6">
        <f>2.52/J14*I11</f>
        <v>56.699999999999996</v>
      </c>
      <c r="L14" s="7"/>
    </row>
    <row r="15" spans="1:12">
      <c r="A15" s="24"/>
      <c r="B15" s="5" t="s">
        <v>23</v>
      </c>
      <c r="C15" s="4">
        <v>46275</v>
      </c>
      <c r="D15" s="37">
        <v>16</v>
      </c>
      <c r="E15" s="38"/>
      <c r="F15" s="39">
        <f>IF(E11=0,0,D15/E11)</f>
        <v>1.7777777777777777</v>
      </c>
      <c r="G15" s="25"/>
      <c r="H15" s="26"/>
      <c r="I15" s="26"/>
      <c r="J15" s="5">
        <v>1.6</v>
      </c>
      <c r="K15" s="6">
        <f>2.52/J15*I11</f>
        <v>56.699999999999996</v>
      </c>
      <c r="L15" s="7"/>
    </row>
    <row r="16" spans="1:12">
      <c r="A16" s="24"/>
      <c r="B16" s="5" t="s">
        <v>24</v>
      </c>
      <c r="C16" s="4">
        <v>46275</v>
      </c>
      <c r="D16" s="37">
        <v>219</v>
      </c>
      <c r="E16" s="38"/>
      <c r="F16" s="39">
        <f>IF(E11=0,0,D16/E11)</f>
        <v>24.333333333333332</v>
      </c>
      <c r="G16" s="25"/>
      <c r="H16" s="26"/>
      <c r="I16" s="26"/>
      <c r="J16" s="5">
        <v>1.6</v>
      </c>
      <c r="K16" s="6">
        <f>2.52/J16*I11</f>
        <v>56.699999999999996</v>
      </c>
      <c r="L16" s="7"/>
    </row>
    <row r="17" spans="1:12">
      <c r="A17" s="24" t="s">
        <v>25</v>
      </c>
      <c r="B17" s="3" t="s">
        <v>26</v>
      </c>
      <c r="C17" s="4">
        <v>46122</v>
      </c>
      <c r="D17" s="37">
        <v>1600</v>
      </c>
      <c r="E17" s="38">
        <v>9</v>
      </c>
      <c r="F17" s="39">
        <f>IF(E17=0,0,D17/E17)</f>
        <v>177.77777777777777</v>
      </c>
      <c r="G17" s="25">
        <f>IF(E17=0,0,SUMPRODUCT(F17:F18,J17:J18)/(I17*2.52))</f>
        <v>2.1881808278867099</v>
      </c>
      <c r="H17" s="26">
        <f>G17*I17*E17</f>
        <v>669.58333333333326</v>
      </c>
      <c r="I17" s="26">
        <v>34</v>
      </c>
      <c r="J17" s="5">
        <v>1.05</v>
      </c>
      <c r="K17" s="6">
        <f>2.52/J17*I17</f>
        <v>81.599999999999994</v>
      </c>
      <c r="L17" s="7">
        <f>E17*I17</f>
        <v>306</v>
      </c>
    </row>
    <row r="18" spans="1:12">
      <c r="A18" s="24"/>
      <c r="B18" s="3" t="s">
        <v>27</v>
      </c>
      <c r="C18" s="4">
        <v>46272</v>
      </c>
      <c r="D18" s="37">
        <v>7</v>
      </c>
      <c r="E18" s="38"/>
      <c r="F18" s="39">
        <f>IF(E17=0,0,D18/E17)</f>
        <v>0.77777777777777779</v>
      </c>
      <c r="G18" s="25"/>
      <c r="H18" s="26"/>
      <c r="I18" s="26"/>
      <c r="J18" s="5">
        <v>1.05</v>
      </c>
      <c r="K18" s="6">
        <f>2.52/J18*I17</f>
        <v>81.599999999999994</v>
      </c>
      <c r="L18" s="7"/>
    </row>
    <row r="19" spans="1:12">
      <c r="A19" s="24" t="s">
        <v>28</v>
      </c>
      <c r="B19" s="3" t="s">
        <v>29</v>
      </c>
      <c r="C19" s="4">
        <v>46255</v>
      </c>
      <c r="D19" s="37">
        <v>2105</v>
      </c>
      <c r="E19" s="38">
        <v>9</v>
      </c>
      <c r="F19" s="39">
        <f>IF(E19=0,0,D19/E19)</f>
        <v>233.88888888888889</v>
      </c>
      <c r="G19" s="25">
        <f>IF(E19=0,0,SUMPRODUCT(F19:F20,J19:J20)/(I19*2.52))</f>
        <v>1.9745428385779258</v>
      </c>
      <c r="H19" s="26">
        <f>G19*I19*E19</f>
        <v>675.29365079365061</v>
      </c>
      <c r="I19" s="26">
        <v>38</v>
      </c>
      <c r="J19" s="5">
        <v>0.7</v>
      </c>
      <c r="K19" s="6">
        <f>2.52/J19*I19</f>
        <v>136.80000000000001</v>
      </c>
      <c r="L19" s="7">
        <f>E19*I19</f>
        <v>342</v>
      </c>
    </row>
    <row r="20" spans="1:12">
      <c r="A20" s="24"/>
      <c r="B20" s="3" t="s">
        <v>29</v>
      </c>
      <c r="C20" s="4">
        <v>46255</v>
      </c>
      <c r="D20" s="37">
        <v>317</v>
      </c>
      <c r="E20" s="38"/>
      <c r="F20" s="39">
        <f>IF(E19=0,0,D20/E19)</f>
        <v>35.222222222222221</v>
      </c>
      <c r="G20" s="25"/>
      <c r="H20" s="26"/>
      <c r="I20" s="26"/>
      <c r="J20" s="5">
        <v>0.72</v>
      </c>
      <c r="K20" s="6">
        <f>2.52/J20*I19</f>
        <v>133</v>
      </c>
      <c r="L20" s="7"/>
    </row>
    <row r="21" spans="1:12">
      <c r="A21" s="24" t="s">
        <v>30</v>
      </c>
      <c r="B21" s="3" t="s">
        <v>14</v>
      </c>
      <c r="C21" s="4">
        <v>46267</v>
      </c>
      <c r="D21" s="37">
        <v>462</v>
      </c>
      <c r="E21" s="38">
        <v>8</v>
      </c>
      <c r="F21" s="39">
        <f>IF(E21=0,0,D21/E21)</f>
        <v>57.75</v>
      </c>
      <c r="G21" s="25">
        <f>IF(E21=0,0,SUMPRODUCT(F21:F22,J21:J22)/(I21*2.52))</f>
        <v>1.1730599647266313</v>
      </c>
      <c r="H21" s="26">
        <f>G21*I21*E21</f>
        <v>337.84126984126982</v>
      </c>
      <c r="I21" s="26">
        <v>36</v>
      </c>
      <c r="J21" s="5">
        <v>1.62</v>
      </c>
      <c r="K21" s="6">
        <f>2.52/J21*I21</f>
        <v>55.999999999999993</v>
      </c>
      <c r="L21" s="7">
        <f>E21*I21</f>
        <v>288</v>
      </c>
    </row>
    <row r="22" spans="1:12">
      <c r="A22" s="24"/>
      <c r="B22" s="3" t="s">
        <v>14</v>
      </c>
      <c r="C22" s="4">
        <v>46267</v>
      </c>
      <c r="D22" s="37">
        <v>62</v>
      </c>
      <c r="E22" s="38"/>
      <c r="F22" s="39">
        <f>IF(E21=0,0,D22/E21)</f>
        <v>7.75</v>
      </c>
      <c r="G22" s="25"/>
      <c r="H22" s="26"/>
      <c r="I22" s="26"/>
      <c r="J22" s="5">
        <v>1.66</v>
      </c>
      <c r="K22" s="6">
        <f>2.52/J22*I21</f>
        <v>54.650602409638552</v>
      </c>
      <c r="L22" s="7"/>
    </row>
    <row r="23" spans="1:12">
      <c r="A23" s="24" t="s">
        <v>31</v>
      </c>
      <c r="B23" s="5" t="s">
        <v>32</v>
      </c>
      <c r="C23" s="4">
        <v>46206</v>
      </c>
      <c r="D23" s="37">
        <v>3013</v>
      </c>
      <c r="E23" s="38">
        <v>9</v>
      </c>
      <c r="F23" s="39">
        <f>IF(E23=0,0,D23/E23)</f>
        <v>334.77777777777777</v>
      </c>
      <c r="G23" s="25">
        <f>IF(E23=0,0,SUMPRODUCT(F23:F29,J23:J29)/(I23*2.52))</f>
        <v>2.7540813096368648</v>
      </c>
      <c r="H23" s="26">
        <f>G23*I23*E23</f>
        <v>966.68253968253964</v>
      </c>
      <c r="I23" s="26">
        <v>39</v>
      </c>
      <c r="J23" s="5">
        <v>0.2</v>
      </c>
      <c r="K23" s="6">
        <f>2.52/J23*I23</f>
        <v>491.4</v>
      </c>
      <c r="L23" s="7">
        <f>E23*I23</f>
        <v>351</v>
      </c>
    </row>
    <row r="24" spans="1:12">
      <c r="A24" s="24"/>
      <c r="B24" s="5" t="s">
        <v>33</v>
      </c>
      <c r="C24" s="4">
        <v>46206</v>
      </c>
      <c r="D24" s="37">
        <v>471</v>
      </c>
      <c r="E24" s="38"/>
      <c r="F24" s="39">
        <f>IF(E23=0,0,D24/E23)</f>
        <v>52.333333333333336</v>
      </c>
      <c r="G24" s="25"/>
      <c r="H24" s="26"/>
      <c r="I24" s="26"/>
      <c r="J24" s="5">
        <v>0.2</v>
      </c>
      <c r="K24" s="6">
        <f>2.52/J24*I23</f>
        <v>491.4</v>
      </c>
      <c r="L24" s="7"/>
    </row>
    <row r="25" spans="1:12">
      <c r="A25" s="24"/>
      <c r="B25" s="5" t="s">
        <v>34</v>
      </c>
      <c r="C25" s="4">
        <v>46206</v>
      </c>
      <c r="D25" s="37">
        <v>5177</v>
      </c>
      <c r="E25" s="38"/>
      <c r="F25" s="39">
        <f>IF(E23=0,0,D25/E23)</f>
        <v>575.22222222222217</v>
      </c>
      <c r="G25" s="25"/>
      <c r="H25" s="26"/>
      <c r="I25" s="26"/>
      <c r="J25" s="5">
        <v>0.2</v>
      </c>
      <c r="K25" s="6">
        <f>2.52/J25*I23</f>
        <v>491.4</v>
      </c>
      <c r="L25" s="7"/>
    </row>
    <row r="26" spans="1:12">
      <c r="A26" s="24"/>
      <c r="B26" s="5" t="s">
        <v>35</v>
      </c>
      <c r="C26" s="4">
        <v>46206</v>
      </c>
      <c r="D26" s="37">
        <v>8</v>
      </c>
      <c r="E26" s="38"/>
      <c r="F26" s="39">
        <f>IF(E23=0,0,D26/E23)</f>
        <v>0.88888888888888884</v>
      </c>
      <c r="G26" s="25"/>
      <c r="H26" s="26"/>
      <c r="I26" s="26"/>
      <c r="J26" s="5">
        <v>0.2</v>
      </c>
      <c r="K26" s="6">
        <f>2.52/J26*I23</f>
        <v>491.4</v>
      </c>
      <c r="L26" s="7"/>
    </row>
    <row r="27" spans="1:12">
      <c r="A27" s="24"/>
      <c r="B27" s="5" t="s">
        <v>36</v>
      </c>
      <c r="C27" s="4">
        <v>46206</v>
      </c>
      <c r="D27" s="37">
        <v>30</v>
      </c>
      <c r="E27" s="38"/>
      <c r="F27" s="39">
        <f>IF(E23=0,0,D27/E23)</f>
        <v>3.3333333333333335</v>
      </c>
      <c r="G27" s="25"/>
      <c r="H27" s="26"/>
      <c r="I27" s="26"/>
      <c r="J27" s="5">
        <v>0.21</v>
      </c>
      <c r="K27" s="6">
        <f>2.52/J27*I23</f>
        <v>468</v>
      </c>
      <c r="L27" s="7"/>
    </row>
    <row r="28" spans="1:12">
      <c r="A28" s="24"/>
      <c r="B28" s="5" t="s">
        <v>37</v>
      </c>
      <c r="C28" s="4">
        <v>46206</v>
      </c>
      <c r="D28" s="37">
        <v>3261</v>
      </c>
      <c r="E28" s="38"/>
      <c r="F28" s="39">
        <f>IF(E23=0,0,D28/E23)</f>
        <v>362.33333333333331</v>
      </c>
      <c r="G28" s="25"/>
      <c r="H28" s="26"/>
      <c r="I28" s="26"/>
      <c r="J28" s="5">
        <v>0.21</v>
      </c>
      <c r="K28" s="6">
        <f>2.52/J28*I23</f>
        <v>468</v>
      </c>
      <c r="L28" s="7"/>
    </row>
    <row r="29" spans="1:12">
      <c r="A29" s="24"/>
      <c r="B29" s="5" t="s">
        <v>38</v>
      </c>
      <c r="C29" s="4">
        <v>46206</v>
      </c>
      <c r="D29" s="37">
        <v>53</v>
      </c>
      <c r="E29" s="38"/>
      <c r="F29" s="39">
        <f>IF(E23=0,0,D29/E23)</f>
        <v>5.8888888888888893</v>
      </c>
      <c r="G29" s="25"/>
      <c r="H29" s="26"/>
      <c r="I29" s="26"/>
      <c r="J29" s="5">
        <v>0.21</v>
      </c>
      <c r="K29" s="6">
        <f>2.52/J29*I23</f>
        <v>468</v>
      </c>
      <c r="L29" s="7"/>
    </row>
    <row r="30" spans="1:12">
      <c r="A30" s="24" t="s">
        <v>39</v>
      </c>
      <c r="B30" s="3" t="s">
        <v>40</v>
      </c>
      <c r="C30" s="4">
        <v>46260</v>
      </c>
      <c r="D30" s="37">
        <v>823</v>
      </c>
      <c r="E30" s="38">
        <v>9</v>
      </c>
      <c r="F30" s="39">
        <f>IF(E30=0,0,D30/E30)</f>
        <v>91.444444444444443</v>
      </c>
      <c r="G30" s="25">
        <f>IF(E30=0,0,SUMPRODUCT(F30:F31,J30:J31)/(I30*2.52))</f>
        <v>1.4752133085466419</v>
      </c>
      <c r="H30" s="26">
        <f>G30*I30*E30</f>
        <v>491.2460317460318</v>
      </c>
      <c r="I30" s="26">
        <v>37</v>
      </c>
      <c r="J30" s="5">
        <v>0.55000000000000004</v>
      </c>
      <c r="K30" s="6">
        <f>2.52/J30*I30</f>
        <v>169.5272727272727</v>
      </c>
      <c r="L30" s="7">
        <f>E30*I30</f>
        <v>333</v>
      </c>
    </row>
    <row r="31" spans="1:12">
      <c r="A31" s="24"/>
      <c r="B31" s="3" t="s">
        <v>40</v>
      </c>
      <c r="C31" s="4">
        <v>46260</v>
      </c>
      <c r="D31" s="37">
        <v>1331</v>
      </c>
      <c r="E31" s="38"/>
      <c r="F31" s="39">
        <f>IF(E30=0,0,D31/E30)</f>
        <v>147.88888888888889</v>
      </c>
      <c r="G31" s="25"/>
      <c r="H31" s="26"/>
      <c r="I31" s="26"/>
      <c r="J31" s="5">
        <v>0.59</v>
      </c>
      <c r="K31" s="6">
        <f>2.52/J31*I30</f>
        <v>158.03389830508476</v>
      </c>
      <c r="L31" s="7"/>
    </row>
    <row r="32" spans="1:12">
      <c r="A32" s="8" t="s">
        <v>41</v>
      </c>
      <c r="B32" s="3" t="s">
        <v>20</v>
      </c>
      <c r="C32" s="4">
        <v>46258</v>
      </c>
      <c r="D32" s="37">
        <v>1351</v>
      </c>
      <c r="E32" s="40">
        <v>9</v>
      </c>
      <c r="F32" s="39">
        <f>IF(E32=0,0,D32/E32)</f>
        <v>150.11111111111111</v>
      </c>
      <c r="G32" s="9">
        <f>IF(E32=0,0,SUMPRODUCT(F32:F32,J32:J32)/(I32*2.52))</f>
        <v>1.9984070091596975</v>
      </c>
      <c r="H32" s="10">
        <f>G32*I32*E32</f>
        <v>557.55555555555554</v>
      </c>
      <c r="I32" s="10">
        <v>31</v>
      </c>
      <c r="J32" s="5">
        <v>1.04</v>
      </c>
      <c r="K32" s="6">
        <f>2.52/J32*I32</f>
        <v>75.115384615384613</v>
      </c>
      <c r="L32" s="7">
        <f>E32*I32</f>
        <v>279</v>
      </c>
    </row>
    <row r="33" spans="1:12">
      <c r="A33" s="24" t="s">
        <v>42</v>
      </c>
      <c r="B33" s="3" t="s">
        <v>43</v>
      </c>
      <c r="C33" s="4">
        <v>46255</v>
      </c>
      <c r="D33" s="37">
        <v>7</v>
      </c>
      <c r="E33" s="38">
        <v>8</v>
      </c>
      <c r="F33" s="39">
        <f>IF(E33=0,0,D33/E33)</f>
        <v>0.875</v>
      </c>
      <c r="G33" s="25">
        <f>IF(E33=0,0,SUMPRODUCT(F33:F34,J33:J34)/(I33*2.52))</f>
        <v>0.97211497211497233</v>
      </c>
      <c r="H33" s="26">
        <f>G33*I33*E33</f>
        <v>287.7460317460318</v>
      </c>
      <c r="I33" s="26">
        <v>37</v>
      </c>
      <c r="J33" s="5">
        <v>0.66</v>
      </c>
      <c r="K33" s="6">
        <f>2.52/J33*I33</f>
        <v>141.27272727272725</v>
      </c>
      <c r="L33" s="7">
        <f>E33*I33</f>
        <v>296</v>
      </c>
    </row>
    <row r="34" spans="1:12">
      <c r="A34" s="24"/>
      <c r="B34" s="3" t="s">
        <v>44</v>
      </c>
      <c r="C34" s="4">
        <v>46276</v>
      </c>
      <c r="D34" s="37">
        <v>655</v>
      </c>
      <c r="E34" s="38"/>
      <c r="F34" s="39">
        <f>IF(E33=0,0,D34/E33)</f>
        <v>81.875</v>
      </c>
      <c r="G34" s="25"/>
      <c r="H34" s="26"/>
      <c r="I34" s="26"/>
      <c r="J34" s="5">
        <v>1.1000000000000001</v>
      </c>
      <c r="K34" s="6">
        <f>2.52/J34*I33</f>
        <v>84.763636363636351</v>
      </c>
      <c r="L34" s="7"/>
    </row>
    <row r="35" spans="1:12">
      <c r="A35" s="24" t="s">
        <v>45</v>
      </c>
      <c r="B35" s="3" t="s">
        <v>40</v>
      </c>
      <c r="C35" s="4">
        <v>46267</v>
      </c>
      <c r="D35" s="37">
        <v>1401</v>
      </c>
      <c r="E35" s="38">
        <v>9</v>
      </c>
      <c r="F35" s="39">
        <f>IF(E35=0,0,D35/E35)</f>
        <v>155.66666666666666</v>
      </c>
      <c r="G35" s="25">
        <f>IF(E35=0,0,SUMPRODUCT(F35:F36,J35:J36)/(I35*2.52))</f>
        <v>1.5776921879863057</v>
      </c>
      <c r="H35" s="26">
        <f>G35*I35*E35</f>
        <v>482.77380952380952</v>
      </c>
      <c r="I35" s="26">
        <v>34</v>
      </c>
      <c r="J35" s="5">
        <v>0.55000000000000004</v>
      </c>
      <c r="K35" s="6">
        <f>2.52/J35*I35</f>
        <v>155.78181818181815</v>
      </c>
      <c r="L35" s="7">
        <f>E35*I35</f>
        <v>306</v>
      </c>
    </row>
    <row r="36" spans="1:12">
      <c r="A36" s="24"/>
      <c r="B36" s="3" t="s">
        <v>40</v>
      </c>
      <c r="C36" s="4">
        <v>46267</v>
      </c>
      <c r="D36" s="37">
        <v>756</v>
      </c>
      <c r="E36" s="38"/>
      <c r="F36" s="39">
        <f>IF(E35=0,0,D36/E35)</f>
        <v>84</v>
      </c>
      <c r="G36" s="25"/>
      <c r="H36" s="26"/>
      <c r="I36" s="26"/>
      <c r="J36" s="5">
        <v>0.59</v>
      </c>
      <c r="K36" s="6">
        <f>2.52/J36*I35</f>
        <v>145.22033898305085</v>
      </c>
      <c r="L36" s="7"/>
    </row>
    <row r="37" spans="1:12">
      <c r="A37" s="8" t="s">
        <v>46</v>
      </c>
      <c r="B37" s="3" t="s">
        <v>47</v>
      </c>
      <c r="C37" s="4">
        <v>46246</v>
      </c>
      <c r="D37" s="37">
        <v>770</v>
      </c>
      <c r="E37" s="40">
        <v>9</v>
      </c>
      <c r="F37" s="39">
        <f>IF(E37=0,0,D37/E37)</f>
        <v>85.555555555555557</v>
      </c>
      <c r="G37" s="9">
        <f>IF(E37=0,0,SUMPRODUCT(F37:F37,J37:J37)/(I37*2.52))</f>
        <v>1.3855522188855525</v>
      </c>
      <c r="H37" s="10">
        <f>G37*I37*E37</f>
        <v>461.38888888888903</v>
      </c>
      <c r="I37" s="10">
        <v>37</v>
      </c>
      <c r="J37" s="5">
        <v>1.51</v>
      </c>
      <c r="K37" s="6">
        <f>2.52/J37*I37</f>
        <v>61.748344370860927</v>
      </c>
      <c r="L37" s="7">
        <f>E37*I37</f>
        <v>333</v>
      </c>
    </row>
    <row r="38" spans="1:12">
      <c r="A38" s="24" t="s">
        <v>48</v>
      </c>
      <c r="B38" s="3" t="s">
        <v>49</v>
      </c>
      <c r="C38" s="4">
        <v>46253</v>
      </c>
      <c r="D38" s="37">
        <v>0</v>
      </c>
      <c r="E38" s="38">
        <v>9</v>
      </c>
      <c r="F38" s="39">
        <f>IF(E38=0,0,D38/E38)</f>
        <v>0</v>
      </c>
      <c r="G38" s="25">
        <f>IF(E38=0,0,SUMPRODUCT(F38:F41,J38:J41)/(I38*2.52))</f>
        <v>1.3185510071474982</v>
      </c>
      <c r="H38" s="26">
        <f>G38*I38*E38</f>
        <v>450.94444444444434</v>
      </c>
      <c r="I38" s="26">
        <v>38</v>
      </c>
      <c r="J38" s="5">
        <v>1.47</v>
      </c>
      <c r="K38" s="6">
        <f>2.52/J38*I38</f>
        <v>65.142857142857153</v>
      </c>
      <c r="L38" s="7">
        <f>E38*I38</f>
        <v>342</v>
      </c>
    </row>
    <row r="39" spans="1:12">
      <c r="A39" s="24"/>
      <c r="B39" s="3" t="s">
        <v>49</v>
      </c>
      <c r="C39" s="4">
        <v>46253</v>
      </c>
      <c r="D39" s="37">
        <v>0</v>
      </c>
      <c r="E39" s="38"/>
      <c r="F39" s="39">
        <f>IF(E38=0,0,D39/E38)</f>
        <v>0</v>
      </c>
      <c r="G39" s="25"/>
      <c r="H39" s="26"/>
      <c r="I39" s="26"/>
      <c r="J39" s="5">
        <v>1.51</v>
      </c>
      <c r="K39" s="6">
        <f>2.52/J39*I38</f>
        <v>63.41721854304636</v>
      </c>
      <c r="L39" s="7"/>
    </row>
    <row r="40" spans="1:12">
      <c r="A40" s="24"/>
      <c r="B40" s="3" t="s">
        <v>14</v>
      </c>
      <c r="C40" s="4">
        <v>46275</v>
      </c>
      <c r="D40" s="37">
        <v>682</v>
      </c>
      <c r="E40" s="38"/>
      <c r="F40" s="39">
        <f>IF(E38=0,0,D40/E38)</f>
        <v>75.777777777777771</v>
      </c>
      <c r="G40" s="25"/>
      <c r="H40" s="26"/>
      <c r="I40" s="26"/>
      <c r="J40" s="5">
        <v>1.62</v>
      </c>
      <c r="K40" s="6">
        <f>2.52/J40*I38</f>
        <v>59.1111111111111</v>
      </c>
      <c r="L40" s="7"/>
    </row>
    <row r="41" spans="1:12">
      <c r="A41" s="24"/>
      <c r="B41" s="3" t="s">
        <v>14</v>
      </c>
      <c r="C41" s="4">
        <v>46275</v>
      </c>
      <c r="D41" s="37">
        <v>19</v>
      </c>
      <c r="E41" s="38"/>
      <c r="F41" s="39">
        <f>IF(E38=0,0,D41/E38)</f>
        <v>2.1111111111111112</v>
      </c>
      <c r="G41" s="25"/>
      <c r="H41" s="26"/>
      <c r="I41" s="26"/>
      <c r="J41" s="5">
        <v>1.66</v>
      </c>
      <c r="K41" s="6">
        <f>2.52/J41*I38</f>
        <v>57.686746987951807</v>
      </c>
      <c r="L41" s="7"/>
    </row>
    <row r="42" spans="1:12">
      <c r="A42" s="8" t="s">
        <v>50</v>
      </c>
      <c r="B42" s="3" t="s">
        <v>26</v>
      </c>
      <c r="C42" s="4">
        <v>46122</v>
      </c>
      <c r="D42" s="37">
        <v>1757</v>
      </c>
      <c r="E42" s="40">
        <v>9</v>
      </c>
      <c r="F42" s="39">
        <f>IF(E42=0,0,D42/E42)</f>
        <v>195.22222222222223</v>
      </c>
      <c r="G42" s="9">
        <f>IF(E42=0,0,SUMPRODUCT(F42:F42,J42:J42)/(I42*2.52))</f>
        <v>2.1405945419103314</v>
      </c>
      <c r="H42" s="10">
        <f>G42*I42*E42</f>
        <v>732.08333333333337</v>
      </c>
      <c r="I42" s="10">
        <v>38</v>
      </c>
      <c r="J42" s="5">
        <v>1.05</v>
      </c>
      <c r="K42" s="6">
        <f>2.52/J42*I42</f>
        <v>91.2</v>
      </c>
      <c r="L42" s="7">
        <f>E42*I42</f>
        <v>342</v>
      </c>
    </row>
    <row r="43" spans="1:12">
      <c r="A43" s="8" t="s">
        <v>51</v>
      </c>
      <c r="B43" s="3" t="s">
        <v>20</v>
      </c>
      <c r="C43" s="4">
        <v>46267</v>
      </c>
      <c r="D43" s="37">
        <v>1460</v>
      </c>
      <c r="E43" s="40">
        <v>9</v>
      </c>
      <c r="F43" s="39">
        <f>IF(E43=0,0,D43/E43)</f>
        <v>162.22222222222223</v>
      </c>
      <c r="G43" s="9">
        <f>IF(E43=0,0,SUMPRODUCT(F43:F43,J43:J43)/(I43*2.52))</f>
        <v>1.9669802077209486</v>
      </c>
      <c r="H43" s="10">
        <f>G43*I43*E43</f>
        <v>637.30158730158735</v>
      </c>
      <c r="I43" s="10">
        <v>36</v>
      </c>
      <c r="J43" s="5">
        <v>1.1000000000000001</v>
      </c>
      <c r="K43" s="6">
        <f>2.52/J43*I43</f>
        <v>82.472727272727255</v>
      </c>
      <c r="L43" s="7">
        <f>E43*I43</f>
        <v>324</v>
      </c>
    </row>
    <row r="44" spans="1:12">
      <c r="A44" s="24" t="s">
        <v>52</v>
      </c>
      <c r="B44" s="3" t="s">
        <v>53</v>
      </c>
      <c r="C44" s="4">
        <v>46267</v>
      </c>
      <c r="D44" s="37">
        <v>73</v>
      </c>
      <c r="E44" s="38">
        <v>9</v>
      </c>
      <c r="F44" s="39">
        <f>IF(E44=0,0,D44/E44)</f>
        <v>8.1111111111111107</v>
      </c>
      <c r="G44" s="25">
        <f>IF(E44=0,0,SUMPRODUCT(F44:F45,J44:J45)/(I44*2.52))</f>
        <v>2.0663232154460225</v>
      </c>
      <c r="H44" s="26">
        <f>G44*I44*E44</f>
        <v>706.68253968253975</v>
      </c>
      <c r="I44" s="26">
        <v>38</v>
      </c>
      <c r="J44" s="5">
        <v>0.76</v>
      </c>
      <c r="K44" s="6">
        <f>2.52/J44*I44</f>
        <v>126</v>
      </c>
      <c r="L44" s="7">
        <f>E44*I44</f>
        <v>342</v>
      </c>
    </row>
    <row r="45" spans="1:12">
      <c r="A45" s="24"/>
      <c r="B45" s="3" t="s">
        <v>53</v>
      </c>
      <c r="C45" s="4">
        <v>46267</v>
      </c>
      <c r="D45" s="37">
        <v>2212</v>
      </c>
      <c r="E45" s="38"/>
      <c r="F45" s="39">
        <f>IF(E44=0,0,D45/E44)</f>
        <v>245.77777777777777</v>
      </c>
      <c r="G45" s="25"/>
      <c r="H45" s="26"/>
      <c r="I45" s="26"/>
      <c r="J45" s="5">
        <v>0.78</v>
      </c>
      <c r="K45" s="6">
        <f>2.52/J45*I44</f>
        <v>122.76923076923077</v>
      </c>
      <c r="L45" s="7"/>
    </row>
    <row r="46" spans="1:12">
      <c r="A46" s="24" t="s">
        <v>54</v>
      </c>
      <c r="B46" s="3" t="s">
        <v>40</v>
      </c>
      <c r="C46" s="4">
        <v>46266</v>
      </c>
      <c r="D46" s="37">
        <v>275</v>
      </c>
      <c r="E46" s="38">
        <v>9</v>
      </c>
      <c r="F46" s="39">
        <f>IF(E46=0,0,D46/E46)</f>
        <v>30.555555555555557</v>
      </c>
      <c r="G46" s="25">
        <f>IF(E46=0,0,SUMPRODUCT(F46:F47,J46:J47)/(I46*2.52))</f>
        <v>1.7059321225987896</v>
      </c>
      <c r="H46" s="26">
        <f>G46*I46*E46</f>
        <v>568.07539682539698</v>
      </c>
      <c r="I46" s="26">
        <v>37</v>
      </c>
      <c r="J46" s="5">
        <v>0.55000000000000004</v>
      </c>
      <c r="K46" s="6">
        <f>2.52/J46*I46</f>
        <v>169.5272727272727</v>
      </c>
      <c r="L46" s="7">
        <f>E46*I46</f>
        <v>333</v>
      </c>
    </row>
    <row r="47" spans="1:12">
      <c r="A47" s="24"/>
      <c r="B47" s="3" t="s">
        <v>40</v>
      </c>
      <c r="C47" s="4">
        <v>46266</v>
      </c>
      <c r="D47" s="37">
        <v>2170</v>
      </c>
      <c r="E47" s="38"/>
      <c r="F47" s="39">
        <f>IF(E46=0,0,D47/E46)</f>
        <v>241.11111111111111</v>
      </c>
      <c r="G47" s="25"/>
      <c r="H47" s="26"/>
      <c r="I47" s="26"/>
      <c r="J47" s="5">
        <v>0.59</v>
      </c>
      <c r="K47" s="6">
        <f>2.52/J47*I46</f>
        <v>158.03389830508476</v>
      </c>
      <c r="L47" s="7"/>
    </row>
    <row r="48" spans="1:12">
      <c r="A48" s="8" t="s">
        <v>55</v>
      </c>
      <c r="B48" s="3" t="s">
        <v>56</v>
      </c>
      <c r="C48" s="4">
        <v>46255</v>
      </c>
      <c r="D48" s="37">
        <v>1098</v>
      </c>
      <c r="E48" s="40">
        <v>9</v>
      </c>
      <c r="F48" s="39">
        <f>IF(E48=0,0,D48/E48)</f>
        <v>122</v>
      </c>
      <c r="G48" s="9">
        <f>IF(E48=0,0,SUMPRODUCT(F48:F48,J48:J48)/(I48*2.52))</f>
        <v>1.6617331617331619</v>
      </c>
      <c r="H48" s="10">
        <f>G48*I48*E48</f>
        <v>553.35714285714289</v>
      </c>
      <c r="I48" s="10">
        <v>37</v>
      </c>
      <c r="J48" s="5">
        <v>1.27</v>
      </c>
      <c r="K48" s="6">
        <f>2.52/J48*I48</f>
        <v>73.417322834645674</v>
      </c>
      <c r="L48" s="7">
        <f>E48*I48</f>
        <v>333</v>
      </c>
    </row>
    <row r="49" spans="1:12">
      <c r="A49" s="27" t="s">
        <v>57</v>
      </c>
      <c r="B49" s="28"/>
      <c r="C49" s="29"/>
      <c r="D49" s="11">
        <f>SUM(D5:D48)</f>
        <v>38982</v>
      </c>
      <c r="E49" s="12">
        <f>SUM(E5:E48)</f>
        <v>178</v>
      </c>
      <c r="F49" s="13"/>
      <c r="G49" s="14">
        <f>SUM(H5:H48)/L49</f>
        <v>1.679499753585213</v>
      </c>
      <c r="H49" s="11"/>
      <c r="I49" s="11">
        <f>SUM(I5:I48)</f>
        <v>731</v>
      </c>
      <c r="J49" s="11"/>
      <c r="K49" s="13"/>
      <c r="L49" s="15">
        <f>SUM(L5:L48)</f>
        <v>6506</v>
      </c>
    </row>
    <row r="50" spans="1:12" ht="13.5" thickBot="1">
      <c r="A50" s="21" t="s">
        <v>58</v>
      </c>
      <c r="B50" s="22"/>
      <c r="C50" s="23"/>
      <c r="D50" s="16">
        <f>SUMIF(A5:A49, "&lt;&gt;Summary", D5:D49)</f>
        <v>38982</v>
      </c>
      <c r="E50" s="17">
        <f>SUMIF(A5:A49, "&lt;&gt;Summary", E5:E49)</f>
        <v>178</v>
      </c>
      <c r="F50" s="18"/>
      <c r="G50" s="19">
        <f>SUMIF(A5:A49, "&lt;&gt;Summary", H5:H49)/L50</f>
        <v>1.679499753585213</v>
      </c>
      <c r="H50" s="16"/>
      <c r="I50" s="16">
        <f>SUMIF(A5:A49, "&lt;&gt;Summary", I5:I49)</f>
        <v>731</v>
      </c>
      <c r="J50" s="16"/>
      <c r="K50" s="18"/>
      <c r="L50" s="20">
        <f>SUMIF(A5:A49, "&lt;&gt;Summary", L5:L49)</f>
        <v>6506</v>
      </c>
    </row>
    <row r="51" spans="1:12" ht="13.5" thickTop="1"/>
    <row r="52" spans="1:12">
      <c r="C52" s="36" t="s">
        <v>59</v>
      </c>
      <c r="D52" s="36">
        <f>SUM(H5:H16)/SUM(L5:L16)</f>
        <v>1.4180373437619815</v>
      </c>
    </row>
    <row r="53" spans="1:12">
      <c r="C53" s="36" t="s">
        <v>60</v>
      </c>
      <c r="D53" s="36">
        <f>SUM(H17:H31)/SUM(L17:L31)</f>
        <v>1.9386708798745833</v>
      </c>
    </row>
    <row r="54" spans="1:12">
      <c r="C54" s="36" t="s">
        <v>61</v>
      </c>
      <c r="D54" s="36">
        <f>SUM(H32:H41)/SUM(L32:L41)</f>
        <v>1.4398513689966133</v>
      </c>
    </row>
    <row r="55" spans="1:12">
      <c r="C55" s="36" t="s">
        <v>62</v>
      </c>
      <c r="D55" s="36">
        <f>SUM(H42:H48)/SUM(L42:L48)</f>
        <v>1.9100955794504182</v>
      </c>
    </row>
  </sheetData>
  <mergeCells count="7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7:A8"/>
    <mergeCell ref="E7:E8"/>
    <mergeCell ref="G7:G8"/>
    <mergeCell ref="H7:H8"/>
    <mergeCell ref="I7:I8"/>
    <mergeCell ref="A5:A6"/>
    <mergeCell ref="E5:E6"/>
    <mergeCell ref="G5:G6"/>
    <mergeCell ref="H5:H6"/>
    <mergeCell ref="I5:I6"/>
    <mergeCell ref="A17:A18"/>
    <mergeCell ref="E17:E18"/>
    <mergeCell ref="G17:G18"/>
    <mergeCell ref="H17:H18"/>
    <mergeCell ref="I17:I18"/>
    <mergeCell ref="A11:A16"/>
    <mergeCell ref="E11:E16"/>
    <mergeCell ref="G11:G16"/>
    <mergeCell ref="H11:H16"/>
    <mergeCell ref="I11:I16"/>
    <mergeCell ref="A21:A22"/>
    <mergeCell ref="E21:E22"/>
    <mergeCell ref="G21:G22"/>
    <mergeCell ref="H21:H22"/>
    <mergeCell ref="I21:I22"/>
    <mergeCell ref="A19:A20"/>
    <mergeCell ref="E19:E20"/>
    <mergeCell ref="G19:G20"/>
    <mergeCell ref="H19:H20"/>
    <mergeCell ref="I19:I20"/>
    <mergeCell ref="A30:A31"/>
    <mergeCell ref="E30:E31"/>
    <mergeCell ref="G30:G31"/>
    <mergeCell ref="H30:H31"/>
    <mergeCell ref="I30:I31"/>
    <mergeCell ref="A23:A29"/>
    <mergeCell ref="E23:E29"/>
    <mergeCell ref="G23:G29"/>
    <mergeCell ref="H23:H29"/>
    <mergeCell ref="I23:I29"/>
    <mergeCell ref="A35:A36"/>
    <mergeCell ref="E35:E36"/>
    <mergeCell ref="G35:G36"/>
    <mergeCell ref="H35:H36"/>
    <mergeCell ref="I35:I36"/>
    <mergeCell ref="A33:A34"/>
    <mergeCell ref="E33:E34"/>
    <mergeCell ref="G33:G34"/>
    <mergeCell ref="H33:H34"/>
    <mergeCell ref="I33:I34"/>
    <mergeCell ref="I46:I47"/>
    <mergeCell ref="A49:C49"/>
    <mergeCell ref="A38:A41"/>
    <mergeCell ref="E38:E41"/>
    <mergeCell ref="G38:G41"/>
    <mergeCell ref="H38:H41"/>
    <mergeCell ref="I38:I41"/>
    <mergeCell ref="A44:A45"/>
    <mergeCell ref="E44:E45"/>
    <mergeCell ref="G44:G45"/>
    <mergeCell ref="H44:H45"/>
    <mergeCell ref="I44:I45"/>
    <mergeCell ref="A50:C50"/>
    <mergeCell ref="A46:A47"/>
    <mergeCell ref="E46:E47"/>
    <mergeCell ref="G46:G47"/>
    <mergeCell ref="H46:H47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2026-09-16T00:57:33Z</dcterms:created>
  <dcterms:modified xsi:type="dcterms:W3CDTF">2026-09-16T00:59:19Z</dcterms:modified>
</cp:coreProperties>
</file>