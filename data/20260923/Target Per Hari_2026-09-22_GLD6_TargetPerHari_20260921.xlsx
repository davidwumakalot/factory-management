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3" i="1"/>
  <c r="D52"/>
  <c r="D51"/>
  <c r="D50"/>
  <c r="I48"/>
  <c r="E48"/>
  <c r="D48"/>
  <c r="I47"/>
  <c r="E47"/>
  <c r="D47"/>
  <c r="L46"/>
  <c r="G46"/>
  <c r="H46" s="1"/>
  <c r="K46"/>
  <c r="F46"/>
  <c r="L43"/>
  <c r="K45"/>
  <c r="F45"/>
  <c r="K44"/>
  <c r="F44"/>
  <c r="K43"/>
  <c r="F43"/>
  <c r="G43" s="1"/>
  <c r="H43" s="1"/>
  <c r="L41"/>
  <c r="K42"/>
  <c r="F42"/>
  <c r="K41"/>
  <c r="F41"/>
  <c r="G41" s="1"/>
  <c r="H41" s="1"/>
  <c r="L40"/>
  <c r="K40"/>
  <c r="F40"/>
  <c r="G40" s="1"/>
  <c r="H40" s="1"/>
  <c r="L39"/>
  <c r="K39"/>
  <c r="F39"/>
  <c r="G39" s="1"/>
  <c r="H39" s="1"/>
  <c r="L38"/>
  <c r="G38"/>
  <c r="H38" s="1"/>
  <c r="K38"/>
  <c r="F38"/>
  <c r="L37"/>
  <c r="H37"/>
  <c r="G37"/>
  <c r="K37"/>
  <c r="F37"/>
  <c r="L35"/>
  <c r="K36"/>
  <c r="F36"/>
  <c r="K35"/>
  <c r="F35"/>
  <c r="G35" s="1"/>
  <c r="H35" s="1"/>
  <c r="L34"/>
  <c r="H34"/>
  <c r="G34"/>
  <c r="K34"/>
  <c r="F34"/>
  <c r="L33"/>
  <c r="K33"/>
  <c r="F33"/>
  <c r="G33" s="1"/>
  <c r="H33" s="1"/>
  <c r="L30"/>
  <c r="K32"/>
  <c r="F32"/>
  <c r="K31"/>
  <c r="F31"/>
  <c r="K30"/>
  <c r="F30"/>
  <c r="G30" s="1"/>
  <c r="H30" s="1"/>
  <c r="L22"/>
  <c r="K29"/>
  <c r="F29"/>
  <c r="K28"/>
  <c r="F28"/>
  <c r="K27"/>
  <c r="F27"/>
  <c r="K26"/>
  <c r="F26"/>
  <c r="K25"/>
  <c r="F25"/>
  <c r="K24"/>
  <c r="F24"/>
  <c r="K23"/>
  <c r="F23"/>
  <c r="K22"/>
  <c r="F22"/>
  <c r="G22" s="1"/>
  <c r="H22" s="1"/>
  <c r="L20"/>
  <c r="K21"/>
  <c r="F21"/>
  <c r="K20"/>
  <c r="F20"/>
  <c r="G20" s="1"/>
  <c r="H20" s="1"/>
  <c r="L19"/>
  <c r="K19"/>
  <c r="F19"/>
  <c r="G19" s="1"/>
  <c r="H19" s="1"/>
  <c r="L18"/>
  <c r="K18"/>
  <c r="F18"/>
  <c r="G18" s="1"/>
  <c r="H18" s="1"/>
  <c r="L12"/>
  <c r="K17"/>
  <c r="F17"/>
  <c r="K16"/>
  <c r="F16"/>
  <c r="K15"/>
  <c r="F15"/>
  <c r="K14"/>
  <c r="F14"/>
  <c r="K13"/>
  <c r="F13"/>
  <c r="K12"/>
  <c r="F12"/>
  <c r="G12" s="1"/>
  <c r="H12" s="1"/>
  <c r="L11"/>
  <c r="K11"/>
  <c r="F11"/>
  <c r="G11" s="1"/>
  <c r="H11" s="1"/>
  <c r="L9"/>
  <c r="G9"/>
  <c r="H9" s="1"/>
  <c r="K10"/>
  <c r="F10"/>
  <c r="K9"/>
  <c r="F9"/>
  <c r="L7"/>
  <c r="K8"/>
  <c r="F8"/>
  <c r="K7"/>
  <c r="F7"/>
  <c r="G7" s="1"/>
  <c r="H7" s="1"/>
  <c r="L5"/>
  <c r="L47" s="1"/>
  <c r="K6"/>
  <c r="F6"/>
  <c r="K5"/>
  <c r="F5"/>
  <c r="G5" s="1"/>
  <c r="H5" s="1"/>
  <c r="G47" l="1"/>
  <c r="L48"/>
  <c r="G48" s="1"/>
</calcChain>
</file>

<file path=xl/sharedStrings.xml><?xml version="1.0" encoding="utf-8"?>
<sst xmlns="http://schemas.openxmlformats.org/spreadsheetml/2006/main" count="81" uniqueCount="62">
  <si>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</si>
  <si>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</si>
  <si>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</si>
  <si>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</si>
  <si>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</si>
  <si>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</si>
  <si>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</si>
  <si>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</si>
  <si>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</si>
  <si>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</si>
  <si>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</si>
  <si>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</si>
  <si>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</si>
  <si>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</si>
  <si>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</si>
  <si>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</si>
  <si>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</si>
  <si>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</si>
  <si>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1196262_HO26_PF</t>
  </si>
  <si>
    <t>6-04</t>
  </si>
  <si>
    <t>MRLPMM_3PC_C127</t>
  </si>
  <si>
    <t>6-05</t>
  </si>
  <si>
    <t>5GK4L2_C127/2-Jumper</t>
  </si>
  <si>
    <t>5GK4L2_C127/3-Jumper</t>
  </si>
  <si>
    <t>5GK4L2_C127/1-Jumper</t>
  </si>
  <si>
    <t>6ZE54X_C127</t>
  </si>
  <si>
    <t>6-06</t>
  </si>
  <si>
    <t>777362_VMI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</si>
  <si>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</si>
  <si>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</si>
  <si>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</si>
  <si>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</si>
  <si>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</si>
  <si>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</si>
  <si>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</si>
  <si>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</si>
  <si>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</si>
  <si>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</si>
  <si>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</si>
  <si>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</si>
  <si>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</si>
  <si>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</si>
  <si>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</si>
  <si>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9KM9L2_C127</t>
  </si>
  <si>
    <t>6-13</t>
  </si>
  <si>
    <t>6-14</t>
  </si>
  <si>
    <t>00GG4Z_C127IND</t>
  </si>
  <si>
    <t>6-15</t>
  </si>
  <si>
    <t>LPST840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</si>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</sst>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>
      <pane ySplit="4" topLeftCell="A16" activePane="bottomLeft" state="frozen"/>
      <selection pane="bottomLeft" activeCell="D5" sqref="D5:F46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46286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7" t="s">
        <v>13</v>
      </c>
      <c r="B5" s="3" t="s">
        <v>14</v>
      </c>
      <c r="C5" s="4">
        <v>46265</v>
      </c>
      <c r="D5" s="37">
        <v>907</v>
      </c>
      <c r="E5" s="38">
        <v>9</v>
      </c>
      <c r="F5" s="39">
        <f>IF(E5=0,0,D5/E5)</f>
        <v>100.77777777777777</v>
      </c>
      <c r="G5" s="28">
        <f>IF(E5=0,0,SUMPRODUCT(F5:F6,J5:J6)/(I5*2.52))</f>
        <v>1.8504311189496374</v>
      </c>
      <c r="H5" s="29">
        <f>G5*I5*E5</f>
        <v>599.53968253968253</v>
      </c>
      <c r="I5" s="29">
        <v>36</v>
      </c>
      <c r="J5" s="5">
        <v>1.62</v>
      </c>
      <c r="K5" s="6">
        <f>2.52/J5*I5</f>
        <v>55.999999999999993</v>
      </c>
      <c r="L5" s="7">
        <f>E5*I5</f>
        <v>324</v>
      </c>
    </row>
    <row r="6" spans="1:12">
      <c r="A6" s="27"/>
      <c r="B6" s="3" t="s">
        <v>14</v>
      </c>
      <c r="C6" s="4">
        <v>46265</v>
      </c>
      <c r="D6" s="37">
        <v>25</v>
      </c>
      <c r="E6" s="38"/>
      <c r="F6" s="39">
        <f>IF(E5=0,0,D6/E5)</f>
        <v>2.7777777777777777</v>
      </c>
      <c r="G6" s="28"/>
      <c r="H6" s="29"/>
      <c r="I6" s="29"/>
      <c r="J6" s="5">
        <v>1.66</v>
      </c>
      <c r="K6" s="6">
        <f>2.52/J6*I5</f>
        <v>54.650602409638552</v>
      </c>
      <c r="L6" s="7"/>
    </row>
    <row r="7" spans="1:12">
      <c r="A7" s="27" t="s">
        <v>15</v>
      </c>
      <c r="B7" s="3" t="s">
        <v>16</v>
      </c>
      <c r="C7" s="4">
        <v>46265</v>
      </c>
      <c r="D7" s="37">
        <v>1901</v>
      </c>
      <c r="E7" s="38">
        <v>9</v>
      </c>
      <c r="F7" s="39">
        <f>IF(E7=0,0,D7/E7)</f>
        <v>211.22222222222223</v>
      </c>
      <c r="G7" s="28">
        <f>IF(E7=0,0,SUMPRODUCT(F7:F8,J7:J8)/(I7*2.52))</f>
        <v>1.8160640799529688</v>
      </c>
      <c r="H7" s="29">
        <f>G7*I7*E7</f>
        <v>588.40476190476181</v>
      </c>
      <c r="I7" s="29">
        <v>36</v>
      </c>
      <c r="J7" s="5">
        <v>0.78</v>
      </c>
      <c r="K7" s="6">
        <f>2.52/J7*I7</f>
        <v>116.30769230769231</v>
      </c>
      <c r="L7" s="7">
        <f>E7*I7</f>
        <v>324</v>
      </c>
    </row>
    <row r="8" spans="1:12">
      <c r="A8" s="27"/>
      <c r="B8" s="3" t="s">
        <v>16</v>
      </c>
      <c r="C8" s="4">
        <v>46265</v>
      </c>
      <c r="D8" s="37">
        <v>0</v>
      </c>
      <c r="E8" s="38"/>
      <c r="F8" s="39">
        <f>IF(E7=0,0,D8/E7)</f>
        <v>0</v>
      </c>
      <c r="G8" s="28"/>
      <c r="H8" s="29"/>
      <c r="I8" s="29"/>
      <c r="J8" s="5">
        <v>0.86</v>
      </c>
      <c r="K8" s="6">
        <f>2.52/J8*I7</f>
        <v>105.48837209302326</v>
      </c>
      <c r="L8" s="7"/>
    </row>
    <row r="9" spans="1:12">
      <c r="A9" s="27" t="s">
        <v>17</v>
      </c>
      <c r="B9" s="3" t="s">
        <v>18</v>
      </c>
      <c r="C9" s="4">
        <v>46275</v>
      </c>
      <c r="D9" s="37">
        <v>1017</v>
      </c>
      <c r="E9" s="38">
        <v>9</v>
      </c>
      <c r="F9" s="39">
        <f>IF(E9=0,0,D9/E9)</f>
        <v>113</v>
      </c>
      <c r="G9" s="28">
        <f>IF(E9=0,0,SUMPRODUCT(F9:F10,J9:J10)/(I9*2.52))</f>
        <v>1.2184254360180284</v>
      </c>
      <c r="H9" s="29">
        <f>G9*I9*E9</f>
        <v>394.76984126984121</v>
      </c>
      <c r="I9" s="29">
        <v>36</v>
      </c>
      <c r="J9" s="5">
        <v>0.91</v>
      </c>
      <c r="K9" s="6">
        <f>2.52/J9*I9</f>
        <v>99.692307692307693</v>
      </c>
      <c r="L9" s="7">
        <f>E9*I9</f>
        <v>324</v>
      </c>
    </row>
    <row r="10" spans="1:12">
      <c r="A10" s="27"/>
      <c r="B10" s="3" t="s">
        <v>18</v>
      </c>
      <c r="C10" s="4">
        <v>46275</v>
      </c>
      <c r="D10" s="37">
        <v>73</v>
      </c>
      <c r="E10" s="38"/>
      <c r="F10" s="39">
        <f>IF(E9=0,0,D10/E9)</f>
        <v>8.1111111111111107</v>
      </c>
      <c r="G10" s="28"/>
      <c r="H10" s="29"/>
      <c r="I10" s="29"/>
      <c r="J10" s="5">
        <v>0.95</v>
      </c>
      <c r="K10" s="6">
        <f>2.52/J10*I9</f>
        <v>95.494736842105269</v>
      </c>
      <c r="L10" s="7"/>
    </row>
    <row r="11" spans="1:12">
      <c r="A11" s="8" t="s">
        <v>19</v>
      </c>
      <c r="B11" s="3" t="s">
        <v>20</v>
      </c>
      <c r="C11" s="4">
        <v>46273</v>
      </c>
      <c r="D11" s="37">
        <v>1451</v>
      </c>
      <c r="E11" s="40">
        <v>9</v>
      </c>
      <c r="F11" s="39">
        <f>IF(E11=0,0,D11/E11)</f>
        <v>161.22222222222223</v>
      </c>
      <c r="G11" s="9">
        <f>IF(E11=0,0,SUMPRODUCT(F11:F11,J11:J11)/(I11*2.52))</f>
        <v>1.7636922636922641</v>
      </c>
      <c r="H11" s="10">
        <f>G11*I11*E11</f>
        <v>587.30952380952397</v>
      </c>
      <c r="I11" s="10">
        <v>37</v>
      </c>
      <c r="J11" s="5">
        <v>1.02</v>
      </c>
      <c r="K11" s="6">
        <f>2.52/J11*I11</f>
        <v>91.411764705882362</v>
      </c>
      <c r="L11" s="7">
        <f>E11*I11</f>
        <v>333</v>
      </c>
    </row>
    <row r="12" spans="1:12">
      <c r="A12" s="27" t="s">
        <v>21</v>
      </c>
      <c r="B12" s="5" t="s">
        <v>22</v>
      </c>
      <c r="C12" s="4">
        <v>46275</v>
      </c>
      <c r="D12" s="37">
        <v>33</v>
      </c>
      <c r="E12" s="38">
        <v>8</v>
      </c>
      <c r="F12" s="39">
        <f>IF(E12=0,0,D12/E12)</f>
        <v>4.125</v>
      </c>
      <c r="G12" s="28">
        <f>IF(E12=0,0,SUMPRODUCT(F12:F17,J12:J17)/(I12*2.52))</f>
        <v>0.54935515873015872</v>
      </c>
      <c r="H12" s="29">
        <f>G12*I12*E12</f>
        <v>158.21428571428572</v>
      </c>
      <c r="I12" s="29">
        <v>36</v>
      </c>
      <c r="J12" s="5">
        <v>1.54</v>
      </c>
      <c r="K12" s="6">
        <f>2.52/J12*I12</f>
        <v>58.909090909090907</v>
      </c>
      <c r="L12" s="7">
        <f>E12*I12</f>
        <v>288</v>
      </c>
    </row>
    <row r="13" spans="1:12">
      <c r="A13" s="27"/>
      <c r="B13" s="5" t="s">
        <v>23</v>
      </c>
      <c r="C13" s="4">
        <v>46275</v>
      </c>
      <c r="D13" s="37">
        <v>22</v>
      </c>
      <c r="E13" s="38"/>
      <c r="F13" s="39">
        <f>IF(E12=0,0,D13/E12)</f>
        <v>2.75</v>
      </c>
      <c r="G13" s="28"/>
      <c r="H13" s="29"/>
      <c r="I13" s="29"/>
      <c r="J13" s="5">
        <v>1.54</v>
      </c>
      <c r="K13" s="6">
        <f>2.52/J13*I12</f>
        <v>58.909090909090907</v>
      </c>
      <c r="L13" s="7"/>
    </row>
    <row r="14" spans="1:12">
      <c r="A14" s="27"/>
      <c r="B14" s="5" t="s">
        <v>24</v>
      </c>
      <c r="C14" s="4">
        <v>46275</v>
      </c>
      <c r="D14" s="37">
        <v>25</v>
      </c>
      <c r="E14" s="38"/>
      <c r="F14" s="39">
        <f>IF(E12=0,0,D14/E12)</f>
        <v>3.125</v>
      </c>
      <c r="G14" s="28"/>
      <c r="H14" s="29"/>
      <c r="I14" s="29"/>
      <c r="J14" s="5">
        <v>1.6</v>
      </c>
      <c r="K14" s="6">
        <f>2.52/J14*I12</f>
        <v>56.699999999999996</v>
      </c>
      <c r="L14" s="7"/>
    </row>
    <row r="15" spans="1:12">
      <c r="A15" s="27"/>
      <c r="B15" s="5" t="s">
        <v>22</v>
      </c>
      <c r="C15" s="4">
        <v>46275</v>
      </c>
      <c r="D15" s="37">
        <v>58</v>
      </c>
      <c r="E15" s="38"/>
      <c r="F15" s="39">
        <f>IF(E12=0,0,D15/E12)</f>
        <v>7.25</v>
      </c>
      <c r="G15" s="28"/>
      <c r="H15" s="29"/>
      <c r="I15" s="29"/>
      <c r="J15" s="5">
        <v>1.6</v>
      </c>
      <c r="K15" s="6">
        <f>2.52/J15*I12</f>
        <v>56.699999999999996</v>
      </c>
      <c r="L15" s="7"/>
    </row>
    <row r="16" spans="1:12">
      <c r="A16" s="27"/>
      <c r="B16" s="5" t="s">
        <v>23</v>
      </c>
      <c r="C16" s="4">
        <v>46275</v>
      </c>
      <c r="D16" s="37">
        <v>7</v>
      </c>
      <c r="E16" s="38"/>
      <c r="F16" s="39">
        <f>IF(E12=0,0,D16/E12)</f>
        <v>0.875</v>
      </c>
      <c r="G16" s="28"/>
      <c r="H16" s="29"/>
      <c r="I16" s="29"/>
      <c r="J16" s="5">
        <v>1.6</v>
      </c>
      <c r="K16" s="6">
        <f>2.52/J16*I12</f>
        <v>56.699999999999996</v>
      </c>
      <c r="L16" s="7"/>
    </row>
    <row r="17" spans="1:12">
      <c r="A17" s="27"/>
      <c r="B17" s="3" t="s">
        <v>25</v>
      </c>
      <c r="C17" s="4">
        <v>46286</v>
      </c>
      <c r="D17" s="37">
        <v>100</v>
      </c>
      <c r="E17" s="38"/>
      <c r="F17" s="39">
        <f>IF(E12=0,0,D17/E12)</f>
        <v>12.5</v>
      </c>
      <c r="G17" s="28"/>
      <c r="H17" s="29"/>
      <c r="I17" s="29"/>
      <c r="J17" s="5">
        <v>1.7</v>
      </c>
      <c r="K17" s="6">
        <f>2.52/J17*I12</f>
        <v>53.364705882352943</v>
      </c>
      <c r="L17" s="7"/>
    </row>
    <row r="18" spans="1:12">
      <c r="A18" s="8" t="s">
        <v>26</v>
      </c>
      <c r="B18" s="3" t="s">
        <v>27</v>
      </c>
      <c r="C18" s="4">
        <v>46122</v>
      </c>
      <c r="D18" s="37">
        <v>1630</v>
      </c>
      <c r="E18" s="40">
        <v>9</v>
      </c>
      <c r="F18" s="39">
        <f>IF(E18=0,0,D18/E18)</f>
        <v>181.11111111111111</v>
      </c>
      <c r="G18" s="9">
        <f>IF(E18=0,0,SUMPRODUCT(F18:F18,J18:J18)/(I18*2.52))</f>
        <v>2.1560846560846563</v>
      </c>
      <c r="H18" s="10">
        <f>G18*I18*E18</f>
        <v>679.16666666666674</v>
      </c>
      <c r="I18" s="10">
        <v>35</v>
      </c>
      <c r="J18" s="5">
        <v>1.05</v>
      </c>
      <c r="K18" s="6">
        <f>2.52/J18*I18</f>
        <v>84</v>
      </c>
      <c r="L18" s="7">
        <f>E18*I18</f>
        <v>315</v>
      </c>
    </row>
    <row r="19" spans="1:12">
      <c r="A19" s="8" t="s">
        <v>28</v>
      </c>
      <c r="B19" s="3" t="s">
        <v>29</v>
      </c>
      <c r="C19" s="4">
        <v>46255</v>
      </c>
      <c r="D19" s="37">
        <v>2506</v>
      </c>
      <c r="E19" s="40">
        <v>9</v>
      </c>
      <c r="F19" s="39">
        <f>IF(E19=0,0,D19/E19)</f>
        <v>278.44444444444446</v>
      </c>
      <c r="G19" s="9">
        <f>IF(E19=0,0,SUMPRODUCT(F19:F19,J19:J19)/(I19*2.52))</f>
        <v>2.0904237570904236</v>
      </c>
      <c r="H19" s="10">
        <f>G19*I19*E19</f>
        <v>696.11111111111109</v>
      </c>
      <c r="I19" s="10">
        <v>37</v>
      </c>
      <c r="J19" s="5">
        <v>0.7</v>
      </c>
      <c r="K19" s="6">
        <f>2.52/J19*I19</f>
        <v>133.20000000000002</v>
      </c>
      <c r="L19" s="7">
        <f>E19*I19</f>
        <v>333</v>
      </c>
    </row>
    <row r="20" spans="1:12">
      <c r="A20" s="27" t="s">
        <v>30</v>
      </c>
      <c r="B20" s="3" t="s">
        <v>14</v>
      </c>
      <c r="C20" s="4">
        <v>46267</v>
      </c>
      <c r="D20" s="37">
        <v>714</v>
      </c>
      <c r="E20" s="38">
        <v>9</v>
      </c>
      <c r="F20" s="39">
        <f>IF(E20=0,0,D20/E20)</f>
        <v>79.333333333333329</v>
      </c>
      <c r="G20" s="28">
        <f>IF(E20=0,0,SUMPRODUCT(F20:F21,J20:J21)/(I20*2.52))</f>
        <v>1.4308984910836766</v>
      </c>
      <c r="H20" s="29">
        <f>G20*I20*E20</f>
        <v>463.6111111111112</v>
      </c>
      <c r="I20" s="29">
        <v>36</v>
      </c>
      <c r="J20" s="5">
        <v>1.62</v>
      </c>
      <c r="K20" s="6">
        <f>2.52/J20*I20</f>
        <v>55.999999999999993</v>
      </c>
      <c r="L20" s="7">
        <f>E20*I20</f>
        <v>324</v>
      </c>
    </row>
    <row r="21" spans="1:12">
      <c r="A21" s="27"/>
      <c r="B21" s="3" t="s">
        <v>14</v>
      </c>
      <c r="C21" s="4">
        <v>46267</v>
      </c>
      <c r="D21" s="37">
        <v>7</v>
      </c>
      <c r="E21" s="38"/>
      <c r="F21" s="39">
        <f>IF(E20=0,0,D21/E20)</f>
        <v>0.77777777777777779</v>
      </c>
      <c r="G21" s="28"/>
      <c r="H21" s="29"/>
      <c r="I21" s="29"/>
      <c r="J21" s="5">
        <v>1.66</v>
      </c>
      <c r="K21" s="6">
        <f>2.52/J21*I20</f>
        <v>54.650602409638552</v>
      </c>
      <c r="L21" s="7"/>
    </row>
    <row r="22" spans="1:12">
      <c r="A22" s="27" t="s">
        <v>31</v>
      </c>
      <c r="B22" s="5" t="s">
        <v>32</v>
      </c>
      <c r="C22" s="4">
        <v>46206</v>
      </c>
      <c r="D22" s="37">
        <v>390</v>
      </c>
      <c r="E22" s="38">
        <v>9</v>
      </c>
      <c r="F22" s="39">
        <f>IF(E22=0,0,D22/E22)</f>
        <v>43.333333333333336</v>
      </c>
      <c r="G22" s="28">
        <f>IF(E22=0,0,SUMPRODUCT(F22:F29,J22:J29)/(I22*2.52))</f>
        <v>1.5479091246635106</v>
      </c>
      <c r="H22" s="29">
        <f>G22*I22*E22</f>
        <v>529.3849206349206</v>
      </c>
      <c r="I22" s="29">
        <v>38</v>
      </c>
      <c r="J22" s="5">
        <v>0.2</v>
      </c>
      <c r="K22" s="6">
        <f>2.52/J22*I22</f>
        <v>478.8</v>
      </c>
      <c r="L22" s="7">
        <f>E22*I22</f>
        <v>342</v>
      </c>
    </row>
    <row r="23" spans="1:12">
      <c r="A23" s="27"/>
      <c r="B23" s="5" t="s">
        <v>33</v>
      </c>
      <c r="C23" s="4">
        <v>46206</v>
      </c>
      <c r="D23" s="37">
        <v>58</v>
      </c>
      <c r="E23" s="38"/>
      <c r="F23" s="39">
        <f>IF(E22=0,0,D23/E22)</f>
        <v>6.4444444444444446</v>
      </c>
      <c r="G23" s="28"/>
      <c r="H23" s="29"/>
      <c r="I23" s="29"/>
      <c r="J23" s="5">
        <v>0.2</v>
      </c>
      <c r="K23" s="6">
        <f>2.52/J23*I22</f>
        <v>478.8</v>
      </c>
      <c r="L23" s="7"/>
    </row>
    <row r="24" spans="1:12">
      <c r="A24" s="27"/>
      <c r="B24" s="5" t="s">
        <v>34</v>
      </c>
      <c r="C24" s="4">
        <v>46206</v>
      </c>
      <c r="D24" s="37">
        <v>151</v>
      </c>
      <c r="E24" s="38"/>
      <c r="F24" s="39">
        <f>IF(E22=0,0,D24/E22)</f>
        <v>16.777777777777779</v>
      </c>
      <c r="G24" s="28"/>
      <c r="H24" s="29"/>
      <c r="I24" s="29"/>
      <c r="J24" s="5">
        <v>0.2</v>
      </c>
      <c r="K24" s="6">
        <f>2.52/J24*I22</f>
        <v>478.8</v>
      </c>
      <c r="L24" s="7"/>
    </row>
    <row r="25" spans="1:12">
      <c r="A25" s="27"/>
      <c r="B25" s="5" t="s">
        <v>35</v>
      </c>
      <c r="C25" s="4">
        <v>46206</v>
      </c>
      <c r="D25" s="37">
        <v>105</v>
      </c>
      <c r="E25" s="38"/>
      <c r="F25" s="39">
        <f>IF(E22=0,0,D25/E22)</f>
        <v>11.666666666666666</v>
      </c>
      <c r="G25" s="28"/>
      <c r="H25" s="29"/>
      <c r="I25" s="29"/>
      <c r="J25" s="5">
        <v>0.2</v>
      </c>
      <c r="K25" s="6">
        <f>2.52/J25*I22</f>
        <v>478.8</v>
      </c>
      <c r="L25" s="7"/>
    </row>
    <row r="26" spans="1:12">
      <c r="A26" s="27"/>
      <c r="B26" s="5" t="s">
        <v>36</v>
      </c>
      <c r="C26" s="4">
        <v>46206</v>
      </c>
      <c r="D26" s="37">
        <v>1145</v>
      </c>
      <c r="E26" s="38"/>
      <c r="F26" s="39">
        <f>IF(E22=0,0,D26/E22)</f>
        <v>127.22222222222223</v>
      </c>
      <c r="G26" s="28"/>
      <c r="H26" s="29"/>
      <c r="I26" s="29"/>
      <c r="J26" s="5">
        <v>0.21</v>
      </c>
      <c r="K26" s="6">
        <f>2.52/J26*I22</f>
        <v>456</v>
      </c>
      <c r="L26" s="7"/>
    </row>
    <row r="27" spans="1:12">
      <c r="A27" s="27"/>
      <c r="B27" s="5" t="s">
        <v>37</v>
      </c>
      <c r="C27" s="4">
        <v>46206</v>
      </c>
      <c r="D27" s="37">
        <v>280</v>
      </c>
      <c r="E27" s="38"/>
      <c r="F27" s="39">
        <f>IF(E22=0,0,D27/E22)</f>
        <v>31.111111111111111</v>
      </c>
      <c r="G27" s="28"/>
      <c r="H27" s="29"/>
      <c r="I27" s="29"/>
      <c r="J27" s="5">
        <v>0.21</v>
      </c>
      <c r="K27" s="6">
        <f>2.52/J27*I22</f>
        <v>456</v>
      </c>
      <c r="L27" s="7"/>
    </row>
    <row r="28" spans="1:12">
      <c r="A28" s="27"/>
      <c r="B28" s="5" t="s">
        <v>38</v>
      </c>
      <c r="C28" s="4">
        <v>46206</v>
      </c>
      <c r="D28" s="37">
        <v>3908</v>
      </c>
      <c r="E28" s="38"/>
      <c r="F28" s="39">
        <f>IF(E22=0,0,D28/E22)</f>
        <v>434.22222222222223</v>
      </c>
      <c r="G28" s="28"/>
      <c r="H28" s="29"/>
      <c r="I28" s="29"/>
      <c r="J28" s="5">
        <v>0.21</v>
      </c>
      <c r="K28" s="6">
        <f>2.52/J28*I22</f>
        <v>456</v>
      </c>
      <c r="L28" s="7"/>
    </row>
    <row r="29" spans="1:12">
      <c r="A29" s="27"/>
      <c r="B29" s="3" t="s">
        <v>16</v>
      </c>
      <c r="C29" s="4">
        <v>46286</v>
      </c>
      <c r="D29" s="37">
        <v>94</v>
      </c>
      <c r="E29" s="38"/>
      <c r="F29" s="39">
        <f>IF(E22=0,0,D29/E22)</f>
        <v>10.444444444444445</v>
      </c>
      <c r="G29" s="28"/>
      <c r="H29" s="29"/>
      <c r="I29" s="29"/>
      <c r="J29" s="5">
        <v>0.78</v>
      </c>
      <c r="K29" s="6">
        <f>2.52/J29*I22</f>
        <v>122.76923076923077</v>
      </c>
      <c r="L29" s="7"/>
    </row>
    <row r="30" spans="1:12">
      <c r="A30" s="27" t="s">
        <v>39</v>
      </c>
      <c r="B30" s="3" t="s">
        <v>40</v>
      </c>
      <c r="C30" s="4">
        <v>46260</v>
      </c>
      <c r="D30" s="37">
        <v>322</v>
      </c>
      <c r="E30" s="38">
        <v>8</v>
      </c>
      <c r="F30" s="39">
        <f>IF(E30=0,0,D30/E30)</f>
        <v>40.25</v>
      </c>
      <c r="G30" s="28">
        <f>IF(E30=0,0,SUMPRODUCT(F30:F32,J30:J32)/(I30*2.52))</f>
        <v>0.29625496031746035</v>
      </c>
      <c r="H30" s="29">
        <f>G30*I30*E30</f>
        <v>85.321428571428584</v>
      </c>
      <c r="I30" s="29">
        <v>36</v>
      </c>
      <c r="J30" s="5">
        <v>0.55000000000000004</v>
      </c>
      <c r="K30" s="6">
        <f>2.52/J30*I30</f>
        <v>164.94545454545451</v>
      </c>
      <c r="L30" s="7">
        <f>E30*I30</f>
        <v>288</v>
      </c>
    </row>
    <row r="31" spans="1:12">
      <c r="A31" s="27"/>
      <c r="B31" s="3" t="s">
        <v>40</v>
      </c>
      <c r="C31" s="4">
        <v>46260</v>
      </c>
      <c r="D31" s="37">
        <v>55</v>
      </c>
      <c r="E31" s="38"/>
      <c r="F31" s="39">
        <f>IF(E30=0,0,D31/E30)</f>
        <v>6.875</v>
      </c>
      <c r="G31" s="28"/>
      <c r="H31" s="29"/>
      <c r="I31" s="29"/>
      <c r="J31" s="5">
        <v>0.59</v>
      </c>
      <c r="K31" s="6">
        <f>2.52/J31*I30</f>
        <v>153.76271186440678</v>
      </c>
      <c r="L31" s="7"/>
    </row>
    <row r="32" spans="1:12">
      <c r="A32" s="27"/>
      <c r="B32" s="3" t="s">
        <v>18</v>
      </c>
      <c r="C32" s="4">
        <v>46286</v>
      </c>
      <c r="D32" s="37">
        <v>6</v>
      </c>
      <c r="E32" s="38"/>
      <c r="F32" s="39">
        <f>IF(E30=0,0,D32/E30)</f>
        <v>0.75</v>
      </c>
      <c r="G32" s="28"/>
      <c r="H32" s="29"/>
      <c r="I32" s="29"/>
      <c r="J32" s="5">
        <v>0.91</v>
      </c>
      <c r="K32" s="6">
        <f>2.52/J32*I30</f>
        <v>99.692307692307693</v>
      </c>
      <c r="L32" s="7"/>
    </row>
    <row r="33" spans="1:12">
      <c r="A33" s="8" t="s">
        <v>41</v>
      </c>
      <c r="B33" s="3" t="s">
        <v>20</v>
      </c>
      <c r="C33" s="4">
        <v>46258</v>
      </c>
      <c r="D33" s="37">
        <v>1417</v>
      </c>
      <c r="E33" s="40">
        <v>9</v>
      </c>
      <c r="F33" s="39">
        <f>IF(E33=0,0,D33/E33)</f>
        <v>157.44444444444446</v>
      </c>
      <c r="G33" s="9">
        <f>IF(E33=0,0,SUMPRODUCT(F33:F33,J33:J33)/(I33*2.52))</f>
        <v>2.0960345906582467</v>
      </c>
      <c r="H33" s="10">
        <f>G33*I33*E33</f>
        <v>584.79365079365084</v>
      </c>
      <c r="I33" s="10">
        <v>31</v>
      </c>
      <c r="J33" s="5">
        <v>1.04</v>
      </c>
      <c r="K33" s="6">
        <f>2.52/J33*I33</f>
        <v>75.115384615384613</v>
      </c>
      <c r="L33" s="7">
        <f>E33*I33</f>
        <v>279</v>
      </c>
    </row>
    <row r="34" spans="1:12">
      <c r="A34" s="8" t="s">
        <v>42</v>
      </c>
      <c r="B34" s="3" t="s">
        <v>43</v>
      </c>
      <c r="C34" s="4">
        <v>46276</v>
      </c>
      <c r="D34" s="37">
        <v>1011</v>
      </c>
      <c r="E34" s="40">
        <v>9</v>
      </c>
      <c r="F34" s="39">
        <f>IF(E34=0,0,D34/E34)</f>
        <v>112.33333333333333</v>
      </c>
      <c r="G34" s="9">
        <f>IF(E34=0,0,SUMPRODUCT(F34:F34,J34:J34)/(I34*2.52))</f>
        <v>1.3620664315108761</v>
      </c>
      <c r="H34" s="10">
        <f>G34*I34*E34</f>
        <v>441.30952380952385</v>
      </c>
      <c r="I34" s="10">
        <v>36</v>
      </c>
      <c r="J34" s="5">
        <v>1.1000000000000001</v>
      </c>
      <c r="K34" s="6">
        <f>2.52/J34*I34</f>
        <v>82.472727272727255</v>
      </c>
      <c r="L34" s="7">
        <f>E34*I34</f>
        <v>324</v>
      </c>
    </row>
    <row r="35" spans="1:12">
      <c r="A35" s="27" t="s">
        <v>44</v>
      </c>
      <c r="B35" s="3" t="s">
        <v>40</v>
      </c>
      <c r="C35" s="4">
        <v>46267</v>
      </c>
      <c r="D35" s="37">
        <v>1918</v>
      </c>
      <c r="E35" s="38">
        <v>9</v>
      </c>
      <c r="F35" s="39">
        <f>IF(E35=0,0,D35/E35)</f>
        <v>213.11111111111111</v>
      </c>
      <c r="G35" s="28">
        <f>IF(E35=0,0,SUMPRODUCT(F35:F36,J35:J36)/(I35*2.52))</f>
        <v>1.4656840513983371</v>
      </c>
      <c r="H35" s="29">
        <f>G35*I35*E35</f>
        <v>461.69047619047615</v>
      </c>
      <c r="I35" s="29">
        <v>35</v>
      </c>
      <c r="J35" s="5">
        <v>0.55000000000000004</v>
      </c>
      <c r="K35" s="6">
        <f>2.52/J35*I35</f>
        <v>160.36363636363635</v>
      </c>
      <c r="L35" s="7">
        <f>E35*I35</f>
        <v>315</v>
      </c>
    </row>
    <row r="36" spans="1:12">
      <c r="A36" s="27"/>
      <c r="B36" s="3" t="s">
        <v>40</v>
      </c>
      <c r="C36" s="4">
        <v>46267</v>
      </c>
      <c r="D36" s="37">
        <v>184</v>
      </c>
      <c r="E36" s="38"/>
      <c r="F36" s="39">
        <f>IF(E35=0,0,D36/E35)</f>
        <v>20.444444444444443</v>
      </c>
      <c r="G36" s="28"/>
      <c r="H36" s="29"/>
      <c r="I36" s="29"/>
      <c r="J36" s="5">
        <v>0.59</v>
      </c>
      <c r="K36" s="6">
        <f>2.52/J36*I35</f>
        <v>149.49152542372883</v>
      </c>
      <c r="L36" s="7"/>
    </row>
    <row r="37" spans="1:12">
      <c r="A37" s="8" t="s">
        <v>45</v>
      </c>
      <c r="B37" s="3" t="s">
        <v>46</v>
      </c>
      <c r="C37" s="4">
        <v>46246</v>
      </c>
      <c r="D37" s="37">
        <v>842</v>
      </c>
      <c r="E37" s="40">
        <v>9</v>
      </c>
      <c r="F37" s="39">
        <f>IF(E37=0,0,D37/E37)</f>
        <v>93.555555555555557</v>
      </c>
      <c r="G37" s="9">
        <f>IF(E37=0,0,SUMPRODUCT(F37:F37,J37:J37)/(I37*2.52))</f>
        <v>1.5151103484436819</v>
      </c>
      <c r="H37" s="10">
        <f>G37*I37*E37</f>
        <v>504.53174603174602</v>
      </c>
      <c r="I37" s="10">
        <v>37</v>
      </c>
      <c r="J37" s="5">
        <v>1.51</v>
      </c>
      <c r="K37" s="6">
        <f>2.52/J37*I37</f>
        <v>61.748344370860927</v>
      </c>
      <c r="L37" s="7">
        <f>E37*I37</f>
        <v>333</v>
      </c>
    </row>
    <row r="38" spans="1:12">
      <c r="A38" s="8" t="s">
        <v>47</v>
      </c>
      <c r="B38" s="3" t="s">
        <v>48</v>
      </c>
      <c r="C38" s="4">
        <v>46253</v>
      </c>
      <c r="D38" s="37">
        <v>927</v>
      </c>
      <c r="E38" s="40">
        <v>9</v>
      </c>
      <c r="F38" s="39">
        <f>IF(E38=0,0,D38/E38)</f>
        <v>103</v>
      </c>
      <c r="G38" s="9">
        <f>IF(E38=0,0,SUMPRODUCT(F38:F38,J38:J38)/(I38*2.52))</f>
        <v>1.5811403508771928</v>
      </c>
      <c r="H38" s="10">
        <f>G38*I38*E38</f>
        <v>540.75</v>
      </c>
      <c r="I38" s="10">
        <v>38</v>
      </c>
      <c r="J38" s="5">
        <v>1.47</v>
      </c>
      <c r="K38" s="6">
        <f>2.52/J38*I38</f>
        <v>65.142857142857153</v>
      </c>
      <c r="L38" s="7">
        <f>E38*I38</f>
        <v>342</v>
      </c>
    </row>
    <row r="39" spans="1:12">
      <c r="A39" s="8" t="s">
        <v>49</v>
      </c>
      <c r="B39" s="3" t="s">
        <v>27</v>
      </c>
      <c r="C39" s="4">
        <v>46122</v>
      </c>
      <c r="D39" s="37">
        <v>1610</v>
      </c>
      <c r="E39" s="40">
        <v>9</v>
      </c>
      <c r="F39" s="39">
        <f>IF(E39=0,0,D39/E39)</f>
        <v>178.88888888888889</v>
      </c>
      <c r="G39" s="9">
        <f>IF(E39=0,0,SUMPRODUCT(F39:F39,J39:J39)/(I39*2.52))</f>
        <v>1.9615009746588694</v>
      </c>
      <c r="H39" s="10">
        <f>G39*I39*E39</f>
        <v>670.83333333333337</v>
      </c>
      <c r="I39" s="10">
        <v>38</v>
      </c>
      <c r="J39" s="5">
        <v>1.05</v>
      </c>
      <c r="K39" s="6">
        <f>2.52/J39*I39</f>
        <v>91.2</v>
      </c>
      <c r="L39" s="7">
        <f>E39*I39</f>
        <v>342</v>
      </c>
    </row>
    <row r="40" spans="1:12">
      <c r="A40" s="8" t="s">
        <v>50</v>
      </c>
      <c r="B40" s="3" t="s">
        <v>20</v>
      </c>
      <c r="C40" s="4">
        <v>46267</v>
      </c>
      <c r="D40" s="37">
        <v>1621</v>
      </c>
      <c r="E40" s="40">
        <v>9</v>
      </c>
      <c r="F40" s="39">
        <f>IF(E40=0,0,D40/E40)</f>
        <v>180.11111111111111</v>
      </c>
      <c r="G40" s="9">
        <f>IF(E40=0,0,SUMPRODUCT(F40:F40,J40:J40)/(I40*2.52))</f>
        <v>2.1248629581962919</v>
      </c>
      <c r="H40" s="10">
        <f>G40*I40*E40</f>
        <v>707.57936507936518</v>
      </c>
      <c r="I40" s="10">
        <v>37</v>
      </c>
      <c r="J40" s="5">
        <v>1.1000000000000001</v>
      </c>
      <c r="K40" s="6">
        <f>2.52/J40*I40</f>
        <v>84.763636363636351</v>
      </c>
      <c r="L40" s="7">
        <f>E40*I40</f>
        <v>333</v>
      </c>
    </row>
    <row r="41" spans="1:12">
      <c r="A41" s="27" t="s">
        <v>51</v>
      </c>
      <c r="B41" s="3" t="s">
        <v>52</v>
      </c>
      <c r="C41" s="4">
        <v>46267</v>
      </c>
      <c r="D41" s="37">
        <v>2278</v>
      </c>
      <c r="E41" s="38">
        <v>9</v>
      </c>
      <c r="F41" s="39">
        <f>IF(E41=0,0,D41/E41)</f>
        <v>253.11111111111111</v>
      </c>
      <c r="G41" s="28">
        <f>IF(E41=0,0,SUMPRODUCT(F41:F42,J41:J42)/(I41*2.52))</f>
        <v>2.1376151283558693</v>
      </c>
      <c r="H41" s="29">
        <f>G41*I41*E41</f>
        <v>692.58730158730168</v>
      </c>
      <c r="I41" s="29">
        <v>36</v>
      </c>
      <c r="J41" s="5">
        <v>0.76</v>
      </c>
      <c r="K41" s="6">
        <f>2.52/J41*I41</f>
        <v>119.36842105263159</v>
      </c>
      <c r="L41" s="7">
        <f>E41*I41</f>
        <v>324</v>
      </c>
    </row>
    <row r="42" spans="1:12">
      <c r="A42" s="27"/>
      <c r="B42" s="3" t="s">
        <v>52</v>
      </c>
      <c r="C42" s="4">
        <v>46267</v>
      </c>
      <c r="D42" s="37">
        <v>18</v>
      </c>
      <c r="E42" s="38"/>
      <c r="F42" s="39">
        <f>IF(E41=0,0,D42/E41)</f>
        <v>2</v>
      </c>
      <c r="G42" s="28"/>
      <c r="H42" s="29"/>
      <c r="I42" s="29"/>
      <c r="J42" s="5">
        <v>0.78</v>
      </c>
      <c r="K42" s="6">
        <f>2.52/J42*I41</f>
        <v>116.30769230769231</v>
      </c>
      <c r="L42" s="7"/>
    </row>
    <row r="43" spans="1:12">
      <c r="A43" s="27" t="s">
        <v>53</v>
      </c>
      <c r="B43" s="3" t="s">
        <v>40</v>
      </c>
      <c r="C43" s="4">
        <v>46266</v>
      </c>
      <c r="D43" s="37">
        <v>965</v>
      </c>
      <c r="E43" s="38">
        <v>8</v>
      </c>
      <c r="F43" s="39">
        <f>IF(E43=0,0,D43/E43)</f>
        <v>120.625</v>
      </c>
      <c r="G43" s="28">
        <f>IF(E43=0,0,SUMPRODUCT(F43:F45,J43:J45)/(I43*2.52))</f>
        <v>1.0361552028218695</v>
      </c>
      <c r="H43" s="29">
        <f>G43*I43*E43</f>
        <v>298.41269841269843</v>
      </c>
      <c r="I43" s="29">
        <v>36</v>
      </c>
      <c r="J43" s="5">
        <v>0.55000000000000004</v>
      </c>
      <c r="K43" s="6">
        <f>2.52/J43*I43</f>
        <v>164.94545454545451</v>
      </c>
      <c r="L43" s="7">
        <f>E43*I43</f>
        <v>288</v>
      </c>
    </row>
    <row r="44" spans="1:12">
      <c r="A44" s="27"/>
      <c r="B44" s="3" t="s">
        <v>40</v>
      </c>
      <c r="C44" s="4">
        <v>46266</v>
      </c>
      <c r="D44" s="37">
        <v>375</v>
      </c>
      <c r="E44" s="38"/>
      <c r="F44" s="39">
        <f>IF(E43=0,0,D44/E43)</f>
        <v>46.875</v>
      </c>
      <c r="G44" s="28"/>
      <c r="H44" s="29"/>
      <c r="I44" s="29"/>
      <c r="J44" s="5">
        <v>0.59</v>
      </c>
      <c r="K44" s="6">
        <f>2.52/J44*I43</f>
        <v>153.76271186440678</v>
      </c>
      <c r="L44" s="7"/>
    </row>
    <row r="45" spans="1:12">
      <c r="A45" s="27"/>
      <c r="B45" s="3" t="s">
        <v>18</v>
      </c>
      <c r="C45" s="4">
        <v>46286</v>
      </c>
      <c r="D45" s="37">
        <v>0</v>
      </c>
      <c r="E45" s="38"/>
      <c r="F45" s="39">
        <f>IF(E43=0,0,D45/E43)</f>
        <v>0</v>
      </c>
      <c r="G45" s="28"/>
      <c r="H45" s="29"/>
      <c r="I45" s="29"/>
      <c r="J45" s="5">
        <v>0.91</v>
      </c>
      <c r="K45" s="6">
        <f>2.52/J45*I43</f>
        <v>99.692307692307693</v>
      </c>
      <c r="L45" s="7"/>
    </row>
    <row r="46" spans="1:12">
      <c r="A46" s="8" t="s">
        <v>54</v>
      </c>
      <c r="B46" s="3" t="s">
        <v>55</v>
      </c>
      <c r="C46" s="4">
        <v>46255</v>
      </c>
      <c r="D46" s="37">
        <v>1116</v>
      </c>
      <c r="E46" s="40">
        <v>9</v>
      </c>
      <c r="F46" s="39">
        <f>IF(E46=0,0,D46/E46)</f>
        <v>124</v>
      </c>
      <c r="G46" s="9">
        <f>IF(E46=0,0,SUMPRODUCT(F46:F46,J46:J46)/(I46*2.52))</f>
        <v>1.6889746889746891</v>
      </c>
      <c r="H46" s="10">
        <f>G46*I46*E46</f>
        <v>562.42857142857144</v>
      </c>
      <c r="I46" s="10">
        <v>37</v>
      </c>
      <c r="J46" s="5">
        <v>1.27</v>
      </c>
      <c r="K46" s="6">
        <f>2.52/J46*I46</f>
        <v>73.417322834645674</v>
      </c>
      <c r="L46" s="7">
        <f>E46*I46</f>
        <v>333</v>
      </c>
    </row>
    <row r="47" spans="1:12">
      <c r="A47" s="21" t="s">
        <v>56</v>
      </c>
      <c r="B47" s="22"/>
      <c r="C47" s="23"/>
      <c r="D47" s="11">
        <f>SUM(D5:D46)</f>
        <v>31272</v>
      </c>
      <c r="E47" s="12">
        <f>SUM(E5:E46)</f>
        <v>177</v>
      </c>
      <c r="F47" s="13"/>
      <c r="G47" s="14">
        <f>SUM(H5:H46)/L47</f>
        <v>1.5990558676654183</v>
      </c>
      <c r="H47" s="11"/>
      <c r="I47" s="11">
        <f>SUM(I5:I46)</f>
        <v>724</v>
      </c>
      <c r="J47" s="11"/>
      <c r="K47" s="13"/>
      <c r="L47" s="15">
        <f>SUM(L5:L46)</f>
        <v>6408</v>
      </c>
    </row>
    <row r="48" spans="1:12" ht="13.5" thickBot="1">
      <c r="A48" s="24" t="s">
        <v>57</v>
      </c>
      <c r="B48" s="25"/>
      <c r="C48" s="26"/>
      <c r="D48" s="16">
        <f>SUMIF(A5:A47, "&lt;&gt;Summary", D5:D47)</f>
        <v>31272</v>
      </c>
      <c r="E48" s="17">
        <f>SUMIF(A5:A47, "&lt;&gt;Summary", E5:E47)</f>
        <v>177</v>
      </c>
      <c r="F48" s="18"/>
      <c r="G48" s="19">
        <f>SUMIF(A5:A47, "&lt;&gt;Summary", H5:H47)/L48</f>
        <v>1.5990558676654183</v>
      </c>
      <c r="H48" s="16"/>
      <c r="I48" s="16">
        <f>SUMIF(A5:A47, "&lt;&gt;Summary", I5:I47)</f>
        <v>724</v>
      </c>
      <c r="J48" s="16"/>
      <c r="K48" s="18"/>
      <c r="L48" s="20">
        <f>SUMIF(A5:A47, "&lt;&gt;Summary", L5:L47)</f>
        <v>6408</v>
      </c>
    </row>
    <row r="49" spans="3:4" ht="13.5" thickTop="1"/>
    <row r="50" spans="3:4">
      <c r="C50" s="36" t="s">
        <v>58</v>
      </c>
      <c r="D50" s="36">
        <f>SUM(H5:H17)/SUM(L5:L17)</f>
        <v>1.461543060413117</v>
      </c>
    </row>
    <row r="51" spans="3:4">
      <c r="C51" s="36" t="s">
        <v>59</v>
      </c>
      <c r="D51" s="36">
        <f>SUM(H18:H32)/SUM(L18:L32)</f>
        <v>1.5315825456274894</v>
      </c>
    </row>
    <row r="52" spans="3:4">
      <c r="C52" s="36" t="s">
        <v>60</v>
      </c>
      <c r="D52" s="36">
        <f>SUM(H33:H38)/SUM(L33:L38)</f>
        <v>1.5901289371157543</v>
      </c>
    </row>
    <row r="53" spans="3:4">
      <c r="C53" s="36" t="s">
        <v>61</v>
      </c>
      <c r="D53" s="36">
        <f>SUM(H39:H46)/SUM(L39:L46)</f>
        <v>1.8097785616304134</v>
      </c>
    </row>
  </sheetData>
  <mergeCells count="6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7:A8"/>
    <mergeCell ref="E7:E8"/>
    <mergeCell ref="G7:G8"/>
    <mergeCell ref="H7:H8"/>
    <mergeCell ref="I7:I8"/>
    <mergeCell ref="A5:A6"/>
    <mergeCell ref="E5:E6"/>
    <mergeCell ref="G5:G6"/>
    <mergeCell ref="H5:H6"/>
    <mergeCell ref="I5:I6"/>
    <mergeCell ref="A12:A17"/>
    <mergeCell ref="E12:E17"/>
    <mergeCell ref="G12:G17"/>
    <mergeCell ref="H12:H17"/>
    <mergeCell ref="I12:I17"/>
    <mergeCell ref="A9:A10"/>
    <mergeCell ref="E9:E10"/>
    <mergeCell ref="G9:G10"/>
    <mergeCell ref="H9:H10"/>
    <mergeCell ref="I9:I10"/>
    <mergeCell ref="A22:A29"/>
    <mergeCell ref="E22:E29"/>
    <mergeCell ref="G22:G29"/>
    <mergeCell ref="H22:H29"/>
    <mergeCell ref="I22:I29"/>
    <mergeCell ref="A20:A21"/>
    <mergeCell ref="E20:E21"/>
    <mergeCell ref="G20:G21"/>
    <mergeCell ref="H20:H21"/>
    <mergeCell ref="I20:I21"/>
    <mergeCell ref="A35:A36"/>
    <mergeCell ref="E35:E36"/>
    <mergeCell ref="G35:G36"/>
    <mergeCell ref="H35:H36"/>
    <mergeCell ref="I35:I36"/>
    <mergeCell ref="A30:A32"/>
    <mergeCell ref="E30:E32"/>
    <mergeCell ref="G30:G32"/>
    <mergeCell ref="H30:H32"/>
    <mergeCell ref="I30:I32"/>
    <mergeCell ref="H41:H42"/>
    <mergeCell ref="I41:I42"/>
    <mergeCell ref="A43:A45"/>
    <mergeCell ref="E43:E45"/>
    <mergeCell ref="G43:G45"/>
    <mergeCell ref="H43:H45"/>
    <mergeCell ref="I43:I45"/>
    <mergeCell ref="A47:C47"/>
    <mergeCell ref="A48:C48"/>
    <mergeCell ref="A41:A42"/>
    <mergeCell ref="E41:E42"/>
    <mergeCell ref="G41:G42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2026-09-22T01:02:36Z</dcterms:created>
  <dcterms:modified xsi:type="dcterms:W3CDTF">2026-09-22T01:05:02Z</dcterms:modified>
</cp:coreProperties>
</file>