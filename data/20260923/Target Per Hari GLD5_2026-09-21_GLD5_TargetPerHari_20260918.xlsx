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9" i="1"/>
  <c r="E39"/>
  <c r="D39"/>
  <c r="I37"/>
  <c r="E37"/>
  <c r="D37"/>
  <c r="L36"/>
  <c r="G36"/>
  <c r="H36" s="1"/>
  <c r="K36"/>
  <c r="F36"/>
  <c r="L35"/>
  <c r="G35"/>
  <c r="H35" s="1"/>
  <c r="K35"/>
  <c r="F35"/>
  <c r="L34"/>
  <c r="K34"/>
  <c r="F34"/>
  <c r="G34" s="1"/>
  <c r="H34" s="1"/>
  <c r="L33"/>
  <c r="K33"/>
  <c r="F33"/>
  <c r="G33" s="1"/>
  <c r="H33" s="1"/>
  <c r="L32"/>
  <c r="K32"/>
  <c r="F32"/>
  <c r="G32" s="1"/>
  <c r="H32" s="1"/>
  <c r="L29"/>
  <c r="K31"/>
  <c r="F31"/>
  <c r="K30"/>
  <c r="F30"/>
  <c r="G29" s="1"/>
  <c r="H29" s="1"/>
  <c r="K29"/>
  <c r="F29"/>
  <c r="L28"/>
  <c r="K28"/>
  <c r="F28"/>
  <c r="G28" s="1"/>
  <c r="H28" s="1"/>
  <c r="L27"/>
  <c r="K27"/>
  <c r="F27"/>
  <c r="G27" s="1"/>
  <c r="H27" s="1"/>
  <c r="L23"/>
  <c r="K26"/>
  <c r="F26"/>
  <c r="K25"/>
  <c r="F25"/>
  <c r="K24"/>
  <c r="F24"/>
  <c r="K23"/>
  <c r="F23"/>
  <c r="L21"/>
  <c r="K22"/>
  <c r="F22"/>
  <c r="K21"/>
  <c r="F21"/>
  <c r="L20"/>
  <c r="K20"/>
  <c r="F20"/>
  <c r="G20" s="1"/>
  <c r="H20" s="1"/>
  <c r="L19"/>
  <c r="K19"/>
  <c r="F19"/>
  <c r="G19" s="1"/>
  <c r="H19" s="1"/>
  <c r="L17"/>
  <c r="K18"/>
  <c r="F18"/>
  <c r="K17"/>
  <c r="F17"/>
  <c r="G17" s="1"/>
  <c r="H17" s="1"/>
  <c r="L15"/>
  <c r="K16"/>
  <c r="F16"/>
  <c r="K15"/>
  <c r="F15"/>
  <c r="L14"/>
  <c r="K14"/>
  <c r="F14"/>
  <c r="G14" s="1"/>
  <c r="H14" s="1"/>
  <c r="L12"/>
  <c r="K13"/>
  <c r="F13"/>
  <c r="K12"/>
  <c r="F12"/>
  <c r="L11"/>
  <c r="K11"/>
  <c r="F11"/>
  <c r="G11" s="1"/>
  <c r="H11" s="1"/>
  <c r="L9"/>
  <c r="K10"/>
  <c r="F10"/>
  <c r="K9"/>
  <c r="F9"/>
  <c r="L8"/>
  <c r="K8"/>
  <c r="F8"/>
  <c r="G8" s="1"/>
  <c r="H8" s="1"/>
  <c r="L5"/>
  <c r="K7"/>
  <c r="F7"/>
  <c r="K6"/>
  <c r="F6"/>
  <c r="K5"/>
  <c r="F5"/>
  <c r="G5" s="1"/>
  <c r="H5" s="1"/>
  <c r="L37" l="1"/>
  <c r="G9"/>
  <c r="H9" s="1"/>
  <c r="G12"/>
  <c r="H12" s="1"/>
  <c r="G15"/>
  <c r="H15" s="1"/>
  <c r="G21"/>
  <c r="H21" s="1"/>
  <c r="L39"/>
  <c r="G39" s="1"/>
  <c r="D42"/>
  <c r="G23"/>
  <c r="H23" s="1"/>
  <c r="D44"/>
  <c r="G37"/>
  <c r="D43"/>
  <c r="D41"/>
</calcChain>
</file>

<file path=xl/sharedStrings.xml><?xml version="1.0" encoding="utf-8"?>
<sst xmlns="http://schemas.openxmlformats.org/spreadsheetml/2006/main" count="71" uniqueCount="58">
  <si>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</si>
  <si>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</si>
  <si>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</si>
  <si>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</si>
  <si>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</si>
  <si>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</si>
  <si>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</si>
  <si>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</si>
  <si>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</si>
  <si>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</si>
  <si>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</si>
  <si>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</si>
  <si>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</si>
  <si>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</si>
  <si>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</si>
  <si>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</si>
  <si>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</si>
  <si>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</si>
  <si>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</si>
  <si>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</si>
  <si>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LK880_FA26</t>
  </si>
  <si>
    <t>K880V_FA26</t>
  </si>
  <si>
    <t>5-04</t>
  </si>
  <si>
    <t>P68YG3_C127</t>
  </si>
  <si>
    <t>5-05</t>
  </si>
  <si>
    <t>K86W2L_C426IND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</si>
  <si>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</si>
  <si>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</si>
  <si>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</si>
  <si>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</si>
  <si>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</si>
  <si>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</si>
  <si>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</si>
  <si>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</si>
  <si>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</si>
  <si>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</si>
  <si>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</si>
  <si>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</si>
  <si>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</si>
  <si>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K864_FA26</t>
  </si>
  <si>
    <t>K864_SP26</t>
  </si>
  <si>
    <t>LK864_FA26</t>
  </si>
  <si>
    <t>5-13</t>
  </si>
  <si>
    <t>5-14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</si>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</sst>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165" fontId="1" fillId="0" borderId="5" xfId="0" applyNumberFormat="1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right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>
      <pane ySplit="4" topLeftCell="A5" activePane="bottomLeft" state="frozen"/>
      <selection pane="bottomLeft" activeCell="J13" sqref="J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46283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>
        <v>46192</v>
      </c>
      <c r="D5" s="5">
        <v>24</v>
      </c>
      <c r="E5" s="34">
        <v>8</v>
      </c>
      <c r="F5" s="6">
        <f>IF(E5=0,0,D5/E5)</f>
        <v>3</v>
      </c>
      <c r="G5" s="35">
        <f>IF(E5=0,0,SUMPRODUCT(F5:F7,J5:J7)/(I5*2.52))</f>
        <v>1.2507239382239381</v>
      </c>
      <c r="H5" s="36">
        <f>G5*I5*E5</f>
        <v>370.21428571428567</v>
      </c>
      <c r="I5" s="36">
        <v>37</v>
      </c>
      <c r="J5" s="5">
        <v>0.8</v>
      </c>
      <c r="K5" s="6">
        <f>2.52/J5*I5</f>
        <v>116.55</v>
      </c>
      <c r="L5" s="7">
        <f>E5*I5</f>
        <v>296</v>
      </c>
    </row>
    <row r="6" spans="1:12">
      <c r="A6" s="33"/>
      <c r="B6" s="3" t="s">
        <v>15</v>
      </c>
      <c r="C6" s="4">
        <v>46272</v>
      </c>
      <c r="D6" s="5">
        <v>13</v>
      </c>
      <c r="E6" s="34"/>
      <c r="F6" s="6">
        <f>IF(E5=0,0,D6/E5)</f>
        <v>1.625</v>
      </c>
      <c r="G6" s="35"/>
      <c r="H6" s="36"/>
      <c r="I6" s="36"/>
      <c r="J6" s="5">
        <v>0.8</v>
      </c>
      <c r="K6" s="6">
        <f>2.52/J6*I5</f>
        <v>116.55</v>
      </c>
      <c r="L6" s="7"/>
    </row>
    <row r="7" spans="1:12">
      <c r="A7" s="33"/>
      <c r="B7" s="3" t="s">
        <v>16</v>
      </c>
      <c r="C7" s="4">
        <v>46279</v>
      </c>
      <c r="D7" s="5">
        <v>961</v>
      </c>
      <c r="E7" s="34"/>
      <c r="F7" s="6">
        <f>IF(E5=0,0,D7/E5)</f>
        <v>120.125</v>
      </c>
      <c r="G7" s="35"/>
      <c r="H7" s="36"/>
      <c r="I7" s="36"/>
      <c r="J7" s="5">
        <v>0.94</v>
      </c>
      <c r="K7" s="6">
        <f>2.52/J7*I5</f>
        <v>99.191489361702125</v>
      </c>
      <c r="L7" s="7"/>
    </row>
    <row r="8" spans="1:12">
      <c r="A8" s="8" t="s">
        <v>17</v>
      </c>
      <c r="B8" s="3" t="s">
        <v>18</v>
      </c>
      <c r="C8" s="4">
        <v>46276</v>
      </c>
      <c r="D8" s="5">
        <v>1011</v>
      </c>
      <c r="E8" s="26">
        <v>9</v>
      </c>
      <c r="F8" s="6">
        <f>IF(E8=0,0,D8/E8)</f>
        <v>112.33333333333333</v>
      </c>
      <c r="G8" s="9">
        <f>IF(E8=0,0,SUMPRODUCT(F8:F8,J8:J8)/(I8*2.52))</f>
        <v>1.908440806878307</v>
      </c>
      <c r="H8" s="10">
        <f>G8*I8*E8</f>
        <v>549.63095238095241</v>
      </c>
      <c r="I8" s="10">
        <v>32</v>
      </c>
      <c r="J8" s="5">
        <v>1.37</v>
      </c>
      <c r="K8" s="6">
        <f>2.52/J8*I8</f>
        <v>58.861313868613138</v>
      </c>
      <c r="L8" s="7">
        <f>E8*I8</f>
        <v>288</v>
      </c>
    </row>
    <row r="9" spans="1:12">
      <c r="A9" s="33" t="s">
        <v>19</v>
      </c>
      <c r="B9" s="3" t="s">
        <v>20</v>
      </c>
      <c r="C9" s="4">
        <v>46245</v>
      </c>
      <c r="D9" s="5">
        <v>1</v>
      </c>
      <c r="E9" s="34">
        <v>9</v>
      </c>
      <c r="F9" s="6">
        <f>IF(E9=0,0,D9/E9)</f>
        <v>0.1111111111111111</v>
      </c>
      <c r="G9" s="35">
        <f>IF(E9=0,0,SUMPRODUCT(F9:F10,J9:J10)/(I9*2.52))</f>
        <v>1.324007268451713</v>
      </c>
      <c r="H9" s="36">
        <f>G9*I9*E9</f>
        <v>393.23015873015879</v>
      </c>
      <c r="I9" s="36">
        <v>33</v>
      </c>
      <c r="J9" s="5">
        <v>1.64</v>
      </c>
      <c r="K9" s="6">
        <f>2.52/J9*I9</f>
        <v>50.707317073170735</v>
      </c>
      <c r="L9" s="7">
        <f>E9*I9</f>
        <v>297</v>
      </c>
    </row>
    <row r="10" spans="1:12">
      <c r="A10" s="33"/>
      <c r="B10" s="3" t="s">
        <v>21</v>
      </c>
      <c r="C10" s="4">
        <v>46281</v>
      </c>
      <c r="D10" s="5">
        <v>761</v>
      </c>
      <c r="E10" s="34"/>
      <c r="F10" s="6">
        <f>IF(E9=0,0,D10/E9)</f>
        <v>84.555555555555557</v>
      </c>
      <c r="G10" s="35"/>
      <c r="H10" s="36"/>
      <c r="I10" s="36"/>
      <c r="J10" s="5">
        <v>1.3</v>
      </c>
      <c r="K10" s="6">
        <f>2.52/J10*I9</f>
        <v>63.969230769230769</v>
      </c>
      <c r="L10" s="7"/>
    </row>
    <row r="11" spans="1:12">
      <c r="A11" s="8" t="s">
        <v>22</v>
      </c>
      <c r="B11" s="3" t="s">
        <v>23</v>
      </c>
      <c r="C11" s="4">
        <v>46265</v>
      </c>
      <c r="D11" s="5">
        <v>1524</v>
      </c>
      <c r="E11" s="26">
        <v>9</v>
      </c>
      <c r="F11" s="6">
        <f>IF(E11=0,0,D11/E11)</f>
        <v>169.33333333333334</v>
      </c>
      <c r="G11" s="9">
        <f>IF(E11=0,0,SUMPRODUCT(F11:F11,J11:J11)/(I11*2.52))</f>
        <v>1.7194211017740431</v>
      </c>
      <c r="H11" s="10">
        <f>G11*I11*E11</f>
        <v>526.14285714285711</v>
      </c>
      <c r="I11" s="10">
        <v>34</v>
      </c>
      <c r="J11" s="5">
        <v>0.87</v>
      </c>
      <c r="K11" s="6">
        <f>2.52/J11*I11</f>
        <v>98.482758620689651</v>
      </c>
      <c r="L11" s="7">
        <f>E11*I11</f>
        <v>306</v>
      </c>
    </row>
    <row r="12" spans="1:12">
      <c r="A12" s="33" t="s">
        <v>24</v>
      </c>
      <c r="B12" s="3" t="s">
        <v>25</v>
      </c>
      <c r="C12" s="4">
        <v>46261</v>
      </c>
      <c r="D12" s="5">
        <v>133</v>
      </c>
      <c r="E12" s="34">
        <v>8</v>
      </c>
      <c r="F12" s="6">
        <f>IF(E12=0,0,D12/E12)</f>
        <v>16.625</v>
      </c>
      <c r="G12" s="35">
        <f>IF(E12=0,0,SUMPRODUCT(F12:F13,J12:J13)/(I12*2.52))</f>
        <v>0.31419477513227512</v>
      </c>
      <c r="H12" s="36">
        <f>G12*I12*E12</f>
        <v>90.488095238095241</v>
      </c>
      <c r="I12" s="36">
        <v>36</v>
      </c>
      <c r="J12" s="5">
        <v>0.87</v>
      </c>
      <c r="K12" s="6">
        <f>2.52/J12*I12</f>
        <v>104.27586206896552</v>
      </c>
      <c r="L12" s="7">
        <f>E12*I12</f>
        <v>288</v>
      </c>
    </row>
    <row r="13" spans="1:12">
      <c r="A13" s="33"/>
      <c r="B13" s="3" t="s">
        <v>26</v>
      </c>
      <c r="C13" s="4">
        <v>46283</v>
      </c>
      <c r="D13" s="5">
        <v>72</v>
      </c>
      <c r="E13" s="34"/>
      <c r="F13" s="6">
        <f>IF(E12=0,0,D13/E12)</f>
        <v>9</v>
      </c>
      <c r="G13" s="35"/>
      <c r="H13" s="36"/>
      <c r="I13" s="36"/>
      <c r="J13" s="5">
        <v>1.56</v>
      </c>
      <c r="K13" s="6">
        <f>2.52/J13*I12</f>
        <v>58.153846153846153</v>
      </c>
      <c r="L13" s="7"/>
    </row>
    <row r="14" spans="1:12">
      <c r="A14" s="8" t="s">
        <v>27</v>
      </c>
      <c r="B14" s="3" t="s">
        <v>28</v>
      </c>
      <c r="C14" s="4">
        <v>46279</v>
      </c>
      <c r="D14" s="5">
        <v>733</v>
      </c>
      <c r="E14" s="26">
        <v>9</v>
      </c>
      <c r="F14" s="6">
        <f>IF(E14=0,0,D14/E14)</f>
        <v>81.444444444444443</v>
      </c>
      <c r="G14" s="9">
        <f>IF(E14=0,0,SUMPRODUCT(F14:F14,J14:J14)/(I14*2.52))</f>
        <v>0.94264403292181065</v>
      </c>
      <c r="H14" s="10">
        <f>G14*I14*E14</f>
        <v>305.41666666666663</v>
      </c>
      <c r="I14" s="10">
        <v>36</v>
      </c>
      <c r="J14" s="5">
        <v>1.05</v>
      </c>
      <c r="K14" s="6">
        <f>2.52/J14*I14</f>
        <v>86.399999999999991</v>
      </c>
      <c r="L14" s="7">
        <f>E14*I14</f>
        <v>324</v>
      </c>
    </row>
    <row r="15" spans="1:12">
      <c r="A15" s="33" t="s">
        <v>29</v>
      </c>
      <c r="B15" s="3" t="s">
        <v>30</v>
      </c>
      <c r="C15" s="4">
        <v>46219</v>
      </c>
      <c r="D15" s="5">
        <v>0</v>
      </c>
      <c r="E15" s="34">
        <v>8</v>
      </c>
      <c r="F15" s="6">
        <f>IF(E15=0,0,D15/E15)</f>
        <v>0</v>
      </c>
      <c r="G15" s="35">
        <f>IF(E15=0,0,SUMPRODUCT(F15:F16,J15:J16)/(I15*2.52))</f>
        <v>1.2466216216216219</v>
      </c>
      <c r="H15" s="36">
        <f>G15*I15*E15</f>
        <v>369.00000000000011</v>
      </c>
      <c r="I15" s="36">
        <v>37</v>
      </c>
      <c r="J15" s="5">
        <v>1.84</v>
      </c>
      <c r="K15" s="6">
        <f>2.52/J15*I15</f>
        <v>50.673913043478258</v>
      </c>
      <c r="L15" s="7">
        <f>E15*I15</f>
        <v>296</v>
      </c>
    </row>
    <row r="16" spans="1:12">
      <c r="A16" s="33"/>
      <c r="B16" s="3" t="s">
        <v>31</v>
      </c>
      <c r="C16" s="4">
        <v>46272</v>
      </c>
      <c r="D16" s="5">
        <v>1148</v>
      </c>
      <c r="E16" s="34"/>
      <c r="F16" s="6">
        <f>IF(E15=0,0,D16/E15)</f>
        <v>143.5</v>
      </c>
      <c r="G16" s="35"/>
      <c r="H16" s="36"/>
      <c r="I16" s="36"/>
      <c r="J16" s="5">
        <v>0.81</v>
      </c>
      <c r="K16" s="6">
        <f>2.52/J16*I15</f>
        <v>115.1111111111111</v>
      </c>
      <c r="L16" s="7"/>
    </row>
    <row r="17" spans="1:12">
      <c r="A17" s="33" t="s">
        <v>32</v>
      </c>
      <c r="B17" s="3" t="s">
        <v>26</v>
      </c>
      <c r="C17" s="4">
        <v>46280</v>
      </c>
      <c r="D17" s="5">
        <v>513</v>
      </c>
      <c r="E17" s="34">
        <v>8</v>
      </c>
      <c r="F17" s="6">
        <f>IF(E17=0,0,D17/E17)</f>
        <v>64.125</v>
      </c>
      <c r="G17" s="35">
        <f>IF(E17=0,0,SUMPRODUCT(F17:F18,J17:J18)/(I17*2.52))</f>
        <v>1.1341836734693878</v>
      </c>
      <c r="H17" s="36">
        <f>G17*I17*E17</f>
        <v>317.57142857142856</v>
      </c>
      <c r="I17" s="36">
        <v>35</v>
      </c>
      <c r="J17" s="5">
        <v>1.56</v>
      </c>
      <c r="K17" s="6">
        <f>2.52/J17*I17</f>
        <v>56.53846153846154</v>
      </c>
      <c r="L17" s="7">
        <f>E17*I17</f>
        <v>280</v>
      </c>
    </row>
    <row r="18" spans="1:12">
      <c r="A18" s="33"/>
      <c r="B18" s="3" t="s">
        <v>26</v>
      </c>
      <c r="C18" s="4">
        <v>46280</v>
      </c>
      <c r="D18" s="5">
        <v>0</v>
      </c>
      <c r="E18" s="34"/>
      <c r="F18" s="6">
        <f>IF(E17=0,0,D18/E17)</f>
        <v>0</v>
      </c>
      <c r="G18" s="35"/>
      <c r="H18" s="36"/>
      <c r="I18" s="36"/>
      <c r="J18" s="5">
        <v>1.72</v>
      </c>
      <c r="K18" s="6">
        <f>2.52/J18*I17</f>
        <v>51.279069767441861</v>
      </c>
      <c r="L18" s="7"/>
    </row>
    <row r="19" spans="1:12">
      <c r="A19" s="8" t="s">
        <v>33</v>
      </c>
      <c r="B19" s="3" t="s">
        <v>34</v>
      </c>
      <c r="C19" s="4">
        <v>46240</v>
      </c>
      <c r="D19" s="5">
        <v>671</v>
      </c>
      <c r="E19" s="26">
        <v>9</v>
      </c>
      <c r="F19" s="6">
        <f>IF(E19=0,0,D19/E19)</f>
        <v>74.555555555555557</v>
      </c>
      <c r="G19" s="9">
        <f>IF(E19=0,0,SUMPRODUCT(F19:F19,J19:J19)/(I19*2.52))</f>
        <v>1.4299676660787772</v>
      </c>
      <c r="H19" s="10">
        <f>G19*I19*E19</f>
        <v>463.30952380952385</v>
      </c>
      <c r="I19" s="10">
        <v>36</v>
      </c>
      <c r="J19" s="5">
        <v>1.74</v>
      </c>
      <c r="K19" s="6">
        <f>2.52/J19*I19</f>
        <v>52.137931034482762</v>
      </c>
      <c r="L19" s="7">
        <f>E19*I19</f>
        <v>324</v>
      </c>
    </row>
    <row r="20" spans="1:12">
      <c r="A20" s="8" t="s">
        <v>35</v>
      </c>
      <c r="B20" s="3" t="s">
        <v>36</v>
      </c>
      <c r="C20" s="4">
        <v>46267</v>
      </c>
      <c r="D20" s="5">
        <v>1567</v>
      </c>
      <c r="E20" s="26">
        <v>9</v>
      </c>
      <c r="F20" s="6">
        <f>IF(E20=0,0,D20/E20)</f>
        <v>174.11111111111111</v>
      </c>
      <c r="G20" s="9">
        <f>IF(E20=0,0,SUMPRODUCT(F20:F20,J20:J20)/(I20*2.52))</f>
        <v>1.4777949245541839</v>
      </c>
      <c r="H20" s="10">
        <f>G20*I20*E20</f>
        <v>478.8055555555556</v>
      </c>
      <c r="I20" s="10">
        <v>36</v>
      </c>
      <c r="J20" s="5">
        <v>0.77</v>
      </c>
      <c r="K20" s="6">
        <f>2.52/J20*I20</f>
        <v>117.81818181818181</v>
      </c>
      <c r="L20" s="7">
        <f>E20*I20</f>
        <v>324</v>
      </c>
    </row>
    <row r="21" spans="1:12">
      <c r="A21" s="33" t="s">
        <v>37</v>
      </c>
      <c r="B21" s="3" t="s">
        <v>26</v>
      </c>
      <c r="C21" s="4">
        <v>46274</v>
      </c>
      <c r="D21" s="5">
        <v>462</v>
      </c>
      <c r="E21" s="34">
        <v>9</v>
      </c>
      <c r="F21" s="6">
        <f>IF(E21=0,0,D21/E21)</f>
        <v>51.333333333333336</v>
      </c>
      <c r="G21" s="35">
        <f>IF(E21=0,0,SUMPRODUCT(F21:F22,J21:J22)/(I21*2.52))</f>
        <v>1.516803840877915</v>
      </c>
      <c r="H21" s="36">
        <f>G21*I21*E21</f>
        <v>491.44444444444446</v>
      </c>
      <c r="I21" s="36">
        <v>36</v>
      </c>
      <c r="J21" s="5">
        <v>1.56</v>
      </c>
      <c r="K21" s="6">
        <f>2.52/J21*I21</f>
        <v>58.153846153846153</v>
      </c>
      <c r="L21" s="7">
        <f>E21*I21</f>
        <v>324</v>
      </c>
    </row>
    <row r="22" spans="1:12">
      <c r="A22" s="33"/>
      <c r="B22" s="3" t="s">
        <v>26</v>
      </c>
      <c r="C22" s="4">
        <v>46274</v>
      </c>
      <c r="D22" s="5">
        <v>301</v>
      </c>
      <c r="E22" s="34"/>
      <c r="F22" s="6">
        <f>IF(E21=0,0,D22/E21)</f>
        <v>33.444444444444443</v>
      </c>
      <c r="G22" s="35"/>
      <c r="H22" s="36"/>
      <c r="I22" s="36"/>
      <c r="J22" s="5">
        <v>1.72</v>
      </c>
      <c r="K22" s="6">
        <f>2.52/J22*I21</f>
        <v>52.744186046511629</v>
      </c>
      <c r="L22" s="7"/>
    </row>
    <row r="23" spans="1:12">
      <c r="A23" s="33" t="s">
        <v>38</v>
      </c>
      <c r="B23" s="3" t="s">
        <v>39</v>
      </c>
      <c r="C23" s="4">
        <v>46235</v>
      </c>
      <c r="D23" s="5">
        <v>16</v>
      </c>
      <c r="E23" s="34">
        <v>8</v>
      </c>
      <c r="F23" s="6">
        <f>IF(E23=0,0,D23/E23)</f>
        <v>2</v>
      </c>
      <c r="G23" s="35">
        <f>IF(E23=0,0,SUMPRODUCT(F23:F26,J23:J26)/(I23*2.52))</f>
        <v>1.5868331128747797</v>
      </c>
      <c r="H23" s="36">
        <f>G23*I23*E23</f>
        <v>457.00793650793656</v>
      </c>
      <c r="I23" s="36">
        <v>36</v>
      </c>
      <c r="J23" s="5">
        <v>1.1599999999999999</v>
      </c>
      <c r="K23" s="6">
        <f>2.52/J23*I23</f>
        <v>78.206896551724142</v>
      </c>
      <c r="L23" s="7">
        <f>E23*I23</f>
        <v>288</v>
      </c>
    </row>
    <row r="24" spans="1:12">
      <c r="A24" s="33"/>
      <c r="B24" s="3" t="s">
        <v>40</v>
      </c>
      <c r="C24" s="4">
        <v>46268</v>
      </c>
      <c r="D24" s="5">
        <v>3</v>
      </c>
      <c r="E24" s="34"/>
      <c r="F24" s="6">
        <f>IF(E23=0,0,D24/E23)</f>
        <v>0.375</v>
      </c>
      <c r="G24" s="35"/>
      <c r="H24" s="36"/>
      <c r="I24" s="36"/>
      <c r="J24" s="5">
        <v>1.1599999999999999</v>
      </c>
      <c r="K24" s="6">
        <f>2.52/J24*I23</f>
        <v>78.206896551724142</v>
      </c>
      <c r="L24" s="7"/>
    </row>
    <row r="25" spans="1:12">
      <c r="A25" s="33"/>
      <c r="B25" s="3" t="s">
        <v>41</v>
      </c>
      <c r="C25" s="4">
        <v>46273</v>
      </c>
      <c r="D25" s="5">
        <v>196</v>
      </c>
      <c r="E25" s="34"/>
      <c r="F25" s="6">
        <f>IF(E23=0,0,D25/E23)</f>
        <v>24.5</v>
      </c>
      <c r="G25" s="35"/>
      <c r="H25" s="36"/>
      <c r="I25" s="36"/>
      <c r="J25" s="5">
        <v>1.22</v>
      </c>
      <c r="K25" s="6">
        <f>2.52/J25*I23</f>
        <v>74.360655737704917</v>
      </c>
      <c r="L25" s="7"/>
    </row>
    <row r="26" spans="1:12">
      <c r="A26" s="33"/>
      <c r="B26" s="3" t="s">
        <v>18</v>
      </c>
      <c r="C26" s="4">
        <v>46281</v>
      </c>
      <c r="D26" s="5">
        <v>650</v>
      </c>
      <c r="E26" s="34"/>
      <c r="F26" s="6">
        <f>IF(E23=0,0,D26/E23)</f>
        <v>81.25</v>
      </c>
      <c r="G26" s="35"/>
      <c r="H26" s="36"/>
      <c r="I26" s="36"/>
      <c r="J26" s="5">
        <v>1.37</v>
      </c>
      <c r="K26" s="6">
        <f>2.52/J26*I23</f>
        <v>66.21897810218978</v>
      </c>
      <c r="L26" s="7"/>
    </row>
    <row r="27" spans="1:12">
      <c r="A27" s="8" t="s">
        <v>42</v>
      </c>
      <c r="B27" s="3" t="s">
        <v>23</v>
      </c>
      <c r="C27" s="4">
        <v>46255</v>
      </c>
      <c r="D27" s="5">
        <v>1750</v>
      </c>
      <c r="E27" s="26">
        <v>9</v>
      </c>
      <c r="F27" s="6">
        <f>IF(E27=0,0,D27/E27)</f>
        <v>194.44444444444446</v>
      </c>
      <c r="G27" s="9">
        <f>IF(E27=0,0,SUMPRODUCT(F27:F27,J27:J27)/(I27*2.52))</f>
        <v>1.8143143143143146</v>
      </c>
      <c r="H27" s="10">
        <f>G27*I27*E27</f>
        <v>604.16666666666674</v>
      </c>
      <c r="I27" s="10">
        <v>37</v>
      </c>
      <c r="J27" s="5">
        <v>0.87</v>
      </c>
      <c r="K27" s="6">
        <f>2.52/J27*I27</f>
        <v>107.17241379310344</v>
      </c>
      <c r="L27" s="7">
        <f>E27*I27</f>
        <v>333</v>
      </c>
    </row>
    <row r="28" spans="1:12">
      <c r="A28" s="8" t="s">
        <v>43</v>
      </c>
      <c r="B28" s="3" t="s">
        <v>21</v>
      </c>
      <c r="C28" s="4">
        <v>46209</v>
      </c>
      <c r="D28" s="5">
        <v>1202</v>
      </c>
      <c r="E28" s="26">
        <v>9</v>
      </c>
      <c r="F28" s="6">
        <f>IF(E28=0,0,D28/E28)</f>
        <v>133.55555555555554</v>
      </c>
      <c r="G28" s="9">
        <f>IF(E28=0,0,SUMPRODUCT(F28:F28,J28:J28)/(I28*2.52))</f>
        <v>1.8621001954335288</v>
      </c>
      <c r="H28" s="10">
        <f>G28*I28*E28</f>
        <v>620.07936507936518</v>
      </c>
      <c r="I28" s="10">
        <v>37</v>
      </c>
      <c r="J28" s="5">
        <v>1.3</v>
      </c>
      <c r="K28" s="6">
        <f>2.52/J28*I28</f>
        <v>71.723076923076917</v>
      </c>
      <c r="L28" s="7">
        <f>E28*I28</f>
        <v>333</v>
      </c>
    </row>
    <row r="29" spans="1:12">
      <c r="A29" s="33" t="s">
        <v>44</v>
      </c>
      <c r="B29" s="3" t="s">
        <v>25</v>
      </c>
      <c r="C29" s="4">
        <v>46209</v>
      </c>
      <c r="D29" s="5">
        <v>348</v>
      </c>
      <c r="E29" s="34">
        <v>9</v>
      </c>
      <c r="F29" s="6">
        <f>IF(E29=0,0,D29/E29)</f>
        <v>38.666666666666664</v>
      </c>
      <c r="G29" s="35">
        <f>IF(E29=0,0,SUMPRODUCT(F29:F31,J29:J31)/(I29*2.52))</f>
        <v>1.9874583578287282</v>
      </c>
      <c r="H29" s="36">
        <f>G29*I29*E29</f>
        <v>643.93650793650795</v>
      </c>
      <c r="I29" s="36">
        <v>36</v>
      </c>
      <c r="J29" s="5">
        <v>0.87</v>
      </c>
      <c r="K29" s="6">
        <f>2.52/J29*I29</f>
        <v>104.27586206896552</v>
      </c>
      <c r="L29" s="7">
        <f>E29*I29</f>
        <v>324</v>
      </c>
    </row>
    <row r="30" spans="1:12">
      <c r="A30" s="33"/>
      <c r="B30" s="3" t="s">
        <v>26</v>
      </c>
      <c r="C30" s="4">
        <v>46275</v>
      </c>
      <c r="D30" s="5">
        <v>232</v>
      </c>
      <c r="E30" s="34"/>
      <c r="F30" s="6">
        <f>IF(E29=0,0,D30/E29)</f>
        <v>25.777777777777779</v>
      </c>
      <c r="G30" s="35"/>
      <c r="H30" s="36"/>
      <c r="I30" s="36"/>
      <c r="J30" s="5">
        <v>1.56</v>
      </c>
      <c r="K30" s="6">
        <f>2.52/J30*I29</f>
        <v>58.153846153846153</v>
      </c>
      <c r="L30" s="7"/>
    </row>
    <row r="31" spans="1:12">
      <c r="A31" s="33"/>
      <c r="B31" s="3" t="s">
        <v>26</v>
      </c>
      <c r="C31" s="4">
        <v>46275</v>
      </c>
      <c r="D31" s="5">
        <v>557</v>
      </c>
      <c r="E31" s="34"/>
      <c r="F31" s="6">
        <f>IF(E29=0,0,D31/E29)</f>
        <v>61.888888888888886</v>
      </c>
      <c r="G31" s="35"/>
      <c r="H31" s="36"/>
      <c r="I31" s="36"/>
      <c r="J31" s="5">
        <v>1.72</v>
      </c>
      <c r="K31" s="6">
        <f>2.52/J31*I29</f>
        <v>52.744186046511629</v>
      </c>
      <c r="L31" s="7"/>
    </row>
    <row r="32" spans="1:12">
      <c r="A32" s="8" t="s">
        <v>45</v>
      </c>
      <c r="B32" s="3" t="s">
        <v>46</v>
      </c>
      <c r="C32" s="4">
        <v>46253</v>
      </c>
      <c r="D32" s="5">
        <v>1808</v>
      </c>
      <c r="E32" s="26">
        <v>9</v>
      </c>
      <c r="F32" s="6">
        <f>IF(E32=0,0,D32/E32)</f>
        <v>200.88888888888889</v>
      </c>
      <c r="G32" s="9">
        <f>IF(E32=0,0,SUMPRODUCT(F32:F32,J32:J32)/(I32*2.52))</f>
        <v>1.7020830354163687</v>
      </c>
      <c r="H32" s="10">
        <f>G32*I32*E32</f>
        <v>566.79365079365084</v>
      </c>
      <c r="I32" s="10">
        <v>37</v>
      </c>
      <c r="J32" s="5">
        <v>0.79</v>
      </c>
      <c r="K32" s="6">
        <f>2.52/J32*I32</f>
        <v>118.02531645569618</v>
      </c>
      <c r="L32" s="7">
        <f>E32*I32</f>
        <v>333</v>
      </c>
    </row>
    <row r="33" spans="1:12">
      <c r="A33" s="8" t="s">
        <v>47</v>
      </c>
      <c r="B33" s="3" t="s">
        <v>18</v>
      </c>
      <c r="C33" s="4">
        <v>46280</v>
      </c>
      <c r="D33" s="5">
        <v>900</v>
      </c>
      <c r="E33" s="26">
        <v>9</v>
      </c>
      <c r="F33" s="6">
        <f>IF(E33=0,0,D33/E33)</f>
        <v>100</v>
      </c>
      <c r="G33" s="9">
        <f>IF(E33=0,0,SUMPRODUCT(F33:F33,J33:J33)/(I33*2.52))</f>
        <v>1.5989729225023341</v>
      </c>
      <c r="H33" s="10">
        <f>G33*I33*E33</f>
        <v>489.28571428571422</v>
      </c>
      <c r="I33" s="10">
        <v>34</v>
      </c>
      <c r="J33" s="5">
        <v>1.37</v>
      </c>
      <c r="K33" s="6">
        <f>2.52/J33*I33</f>
        <v>62.540145985401459</v>
      </c>
      <c r="L33" s="7">
        <f>E33*I33</f>
        <v>306</v>
      </c>
    </row>
    <row r="34" spans="1:12">
      <c r="A34" s="8" t="s">
        <v>48</v>
      </c>
      <c r="B34" s="3" t="s">
        <v>31</v>
      </c>
      <c r="C34" s="4">
        <v>46268</v>
      </c>
      <c r="D34" s="5">
        <v>923</v>
      </c>
      <c r="E34" s="26">
        <v>8</v>
      </c>
      <c r="F34" s="6">
        <f>IF(E34=0,0,D34/E34)</f>
        <v>115.375</v>
      </c>
      <c r="G34" s="9">
        <f>IF(E34=0,0,SUMPRODUCT(F34:F34,J34:J34)/(I34*2.52))</f>
        <v>1.0595663265306121</v>
      </c>
      <c r="H34" s="10">
        <f>G34*I34*E34</f>
        <v>296.67857142857139</v>
      </c>
      <c r="I34" s="10">
        <v>35</v>
      </c>
      <c r="J34" s="5">
        <v>0.81</v>
      </c>
      <c r="K34" s="6">
        <f>2.52/J34*I34</f>
        <v>108.88888888888887</v>
      </c>
      <c r="L34" s="7">
        <f>E34*I34</f>
        <v>280</v>
      </c>
    </row>
    <row r="35" spans="1:12">
      <c r="A35" s="8" t="s">
        <v>49</v>
      </c>
      <c r="B35" s="3" t="s">
        <v>15</v>
      </c>
      <c r="C35" s="4">
        <v>46274</v>
      </c>
      <c r="D35" s="5">
        <v>1697</v>
      </c>
      <c r="E35" s="26">
        <v>9</v>
      </c>
      <c r="F35" s="6">
        <f>IF(E35=0,0,D35/E35)</f>
        <v>188.55555555555554</v>
      </c>
      <c r="G35" s="9">
        <f>IF(E35=0,0,SUMPRODUCT(F35:F35,J35:J35)/(I35*2.52))</f>
        <v>1.5348437570659792</v>
      </c>
      <c r="H35" s="10">
        <f>G35*I35*E35</f>
        <v>538.73015873015868</v>
      </c>
      <c r="I35" s="10">
        <v>39</v>
      </c>
      <c r="J35" s="5">
        <v>0.8</v>
      </c>
      <c r="K35" s="6">
        <f>2.52/J35*I35</f>
        <v>122.85</v>
      </c>
      <c r="L35" s="7">
        <f>E35*I35</f>
        <v>351</v>
      </c>
    </row>
    <row r="36" spans="1:12">
      <c r="A36" s="8" t="s">
        <v>50</v>
      </c>
      <c r="B36" s="3" t="s">
        <v>51</v>
      </c>
      <c r="C36" s="4">
        <v>46272</v>
      </c>
      <c r="D36" s="5">
        <v>646</v>
      </c>
      <c r="E36" s="26">
        <v>9</v>
      </c>
      <c r="F36" s="6">
        <f>IF(E36=0,0,D36/E36)</f>
        <v>71.777777777777771</v>
      </c>
      <c r="G36" s="9">
        <f>IF(E36=0,0,SUMPRODUCT(F36:F36,J36:J36)/(I36*2.52))</f>
        <v>1.0396384479717811</v>
      </c>
      <c r="H36" s="10">
        <f>G36*I36*E36</f>
        <v>374.26984126984115</v>
      </c>
      <c r="I36" s="10">
        <v>40</v>
      </c>
      <c r="J36" s="5">
        <v>1.46</v>
      </c>
      <c r="K36" s="6">
        <f>2.52/J36*I36</f>
        <v>69.041095890410958</v>
      </c>
      <c r="L36" s="7">
        <f>E36*I36</f>
        <v>360</v>
      </c>
    </row>
    <row r="37" spans="1:12">
      <c r="A37" s="27" t="s">
        <v>52</v>
      </c>
      <c r="B37" s="28"/>
      <c r="C37" s="29"/>
      <c r="D37" s="11">
        <f>SUM(D5:D36)</f>
        <v>20823</v>
      </c>
      <c r="E37" s="12">
        <f>SUM(E5:E36)</f>
        <v>174</v>
      </c>
      <c r="F37" s="13"/>
      <c r="G37" s="14">
        <f>SUM(H5:H36)/L37</f>
        <v>1.4302481824064557</v>
      </c>
      <c r="H37" s="11"/>
      <c r="I37" s="11">
        <f>SUM(I5:I36)</f>
        <v>719</v>
      </c>
      <c r="J37" s="11"/>
      <c r="K37" s="13"/>
      <c r="L37" s="15">
        <f>SUM(L5:L36)</f>
        <v>6255</v>
      </c>
    </row>
    <row r="38" spans="1:12">
      <c r="A38" s="16"/>
      <c r="B38" s="5"/>
      <c r="C38" s="4"/>
      <c r="D38" s="5"/>
      <c r="E38" s="17"/>
      <c r="F38" s="6"/>
      <c r="G38" s="18"/>
      <c r="H38" s="5"/>
      <c r="I38" s="5"/>
      <c r="J38" s="5"/>
      <c r="K38" s="6"/>
      <c r="L38" s="7"/>
    </row>
    <row r="39" spans="1:12" ht="13.5" thickBot="1">
      <c r="A39" s="30" t="s">
        <v>53</v>
      </c>
      <c r="B39" s="31"/>
      <c r="C39" s="32"/>
      <c r="D39" s="19">
        <f>SUMIF(A5:A38, "&lt;&gt;Summary", D5:D38)</f>
        <v>20823</v>
      </c>
      <c r="E39" s="20">
        <f>SUMIF(A5:A38, "&lt;&gt;Summary", E5:E38)</f>
        <v>174</v>
      </c>
      <c r="F39" s="21"/>
      <c r="G39" s="22">
        <f>SUMIF(A5:A38, "&lt;&gt;Summary", H5:H38)/L39</f>
        <v>1.4302481824064557</v>
      </c>
      <c r="H39" s="19"/>
      <c r="I39" s="19">
        <f>SUMIF(A5:A38, "&lt;&gt;Summary", I5:I38)</f>
        <v>719</v>
      </c>
      <c r="J39" s="19"/>
      <c r="K39" s="21"/>
      <c r="L39" s="23">
        <f>SUMIF(A5:A38, "&lt;&gt;Summary", L5:L38)</f>
        <v>6255</v>
      </c>
    </row>
    <row r="40" spans="1:12" ht="13.5" thickTop="1"/>
    <row r="41" spans="1:12">
      <c r="C41" s="24" t="s">
        <v>54</v>
      </c>
      <c r="D41" s="25">
        <f>SUM(H5:H10)/SUM(L5:L10)</f>
        <v>1.4904374538313245</v>
      </c>
    </row>
    <row r="42" spans="1:12">
      <c r="C42" s="24" t="s">
        <v>55</v>
      </c>
      <c r="D42" s="25">
        <f>SUM(H14:H20)/SUM(L14:L20)</f>
        <v>1.2494206554284075</v>
      </c>
    </row>
    <row r="43" spans="1:12">
      <c r="C43" s="24" t="s">
        <v>56</v>
      </c>
      <c r="D43" s="25">
        <f>SUM(H21:H31)/SUM(L21:L31)</f>
        <v>1.7581990765511366</v>
      </c>
    </row>
    <row r="44" spans="1:12">
      <c r="C44" s="24" t="s">
        <v>57</v>
      </c>
      <c r="D44" s="25">
        <f>SUM(H32:H36)/SUM(L32:L36)</f>
        <v>1.3900355438698992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0"/>
    <mergeCell ref="E9:E10"/>
    <mergeCell ref="G9:G10"/>
    <mergeCell ref="H9:H10"/>
    <mergeCell ref="I9:I10"/>
    <mergeCell ref="A5:A7"/>
    <mergeCell ref="E5:E7"/>
    <mergeCell ref="G5:G7"/>
    <mergeCell ref="H5:H7"/>
    <mergeCell ref="I5:I7"/>
    <mergeCell ref="A15:A16"/>
    <mergeCell ref="E15:E16"/>
    <mergeCell ref="G15:G16"/>
    <mergeCell ref="H15:H16"/>
    <mergeCell ref="I15:I16"/>
    <mergeCell ref="A12:A13"/>
    <mergeCell ref="E12:E13"/>
    <mergeCell ref="G12:G13"/>
    <mergeCell ref="H12:H13"/>
    <mergeCell ref="I12:I13"/>
    <mergeCell ref="A21:A22"/>
    <mergeCell ref="E21:E22"/>
    <mergeCell ref="G21:G22"/>
    <mergeCell ref="H21:H22"/>
    <mergeCell ref="I21:I22"/>
    <mergeCell ref="A17:A18"/>
    <mergeCell ref="E17:E18"/>
    <mergeCell ref="G17:G18"/>
    <mergeCell ref="H17:H18"/>
    <mergeCell ref="I17:I18"/>
    <mergeCell ref="H23:H26"/>
    <mergeCell ref="I23:I26"/>
    <mergeCell ref="A29:A31"/>
    <mergeCell ref="E29:E31"/>
    <mergeCell ref="G29:G31"/>
    <mergeCell ref="H29:H31"/>
    <mergeCell ref="I29:I31"/>
    <mergeCell ref="A37:C37"/>
    <mergeCell ref="A39:C39"/>
    <mergeCell ref="A23:A26"/>
    <mergeCell ref="E23:E26"/>
    <mergeCell ref="G23:G26"/>
  </mergeCells>
  <printOptions horizontalCentered="1"/>
  <pageMargins left="0.2" right="0.2" top="1" bottom="0.2" header="0.2" footer="0.2"/>
  <pageSetup paperSize="9" scale="90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2026-09-21T01:27:15Z</cp:lastPrinted>
  <dcterms:created xsi:type="dcterms:W3CDTF">2026-09-21T00:30:30Z</dcterms:created>
  <dcterms:modified xsi:type="dcterms:W3CDTF">2026-09-21T02:03:24Z</dcterms:modified>
</cp:coreProperties>
</file>