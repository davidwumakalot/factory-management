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4" i="1"/>
  <c r="D53"/>
  <c r="D52"/>
  <c r="D51"/>
  <c r="I49"/>
  <c r="E49"/>
  <c r="D49"/>
  <c r="I48"/>
  <c r="E48"/>
  <c r="D48"/>
  <c r="L47"/>
  <c r="G47"/>
  <c r="H47" s="1"/>
  <c r="K47"/>
  <c r="F47"/>
  <c r="L45"/>
  <c r="K46"/>
  <c r="F46"/>
  <c r="K45"/>
  <c r="F45"/>
  <c r="G45" s="1"/>
  <c r="H45" s="1"/>
  <c r="L43"/>
  <c r="K44"/>
  <c r="F44"/>
  <c r="K43"/>
  <c r="F43"/>
  <c r="G43" s="1"/>
  <c r="H43" s="1"/>
  <c r="L42"/>
  <c r="K42"/>
  <c r="F42"/>
  <c r="G42" s="1"/>
  <c r="H42" s="1"/>
  <c r="L41"/>
  <c r="G41"/>
  <c r="H41" s="1"/>
  <c r="K41"/>
  <c r="F41"/>
  <c r="L39"/>
  <c r="K40"/>
  <c r="F40"/>
  <c r="K39"/>
  <c r="F39"/>
  <c r="G39" s="1"/>
  <c r="H39" s="1"/>
  <c r="L38"/>
  <c r="G38"/>
  <c r="H38" s="1"/>
  <c r="K38"/>
  <c r="F38"/>
  <c r="L36"/>
  <c r="K37"/>
  <c r="F37"/>
  <c r="K36"/>
  <c r="F36"/>
  <c r="G36" s="1"/>
  <c r="H36" s="1"/>
  <c r="L35"/>
  <c r="G35"/>
  <c r="H35" s="1"/>
  <c r="K35"/>
  <c r="F35"/>
  <c r="L34"/>
  <c r="H34"/>
  <c r="G34"/>
  <c r="K34"/>
  <c r="F34"/>
  <c r="L32"/>
  <c r="K33"/>
  <c r="F33"/>
  <c r="K32"/>
  <c r="F32"/>
  <c r="G32" s="1"/>
  <c r="H32" s="1"/>
  <c r="L26"/>
  <c r="K31"/>
  <c r="F31"/>
  <c r="K30"/>
  <c r="F30"/>
  <c r="K29"/>
  <c r="F29"/>
  <c r="K28"/>
  <c r="F28"/>
  <c r="K27"/>
  <c r="F27"/>
  <c r="K26"/>
  <c r="F26"/>
  <c r="G26" s="1"/>
  <c r="H26" s="1"/>
  <c r="L22"/>
  <c r="K25"/>
  <c r="F25"/>
  <c r="K24"/>
  <c r="F24"/>
  <c r="K23"/>
  <c r="F23"/>
  <c r="K22"/>
  <c r="F22"/>
  <c r="G22" s="1"/>
  <c r="H22" s="1"/>
  <c r="L20"/>
  <c r="K21"/>
  <c r="F21"/>
  <c r="K20"/>
  <c r="F20"/>
  <c r="G20" s="1"/>
  <c r="H20" s="1"/>
  <c r="L18"/>
  <c r="K19"/>
  <c r="F19"/>
  <c r="K18"/>
  <c r="F18"/>
  <c r="G18" s="1"/>
  <c r="H18" s="1"/>
  <c r="L15"/>
  <c r="K17"/>
  <c r="F17"/>
  <c r="K16"/>
  <c r="F16"/>
  <c r="G15" s="1"/>
  <c r="H15" s="1"/>
  <c r="K15"/>
  <c r="F15"/>
  <c r="L10"/>
  <c r="K14"/>
  <c r="F14"/>
  <c r="K13"/>
  <c r="F13"/>
  <c r="K12"/>
  <c r="F12"/>
  <c r="K11"/>
  <c r="F11"/>
  <c r="K10"/>
  <c r="F10"/>
  <c r="G10" s="1"/>
  <c r="H10" s="1"/>
  <c r="L8"/>
  <c r="K9"/>
  <c r="F9"/>
  <c r="K8"/>
  <c r="F8"/>
  <c r="G8" s="1"/>
  <c r="H8" s="1"/>
  <c r="L7"/>
  <c r="K7"/>
  <c r="F7"/>
  <c r="G7" s="1"/>
  <c r="H7" s="1"/>
  <c r="L5"/>
  <c r="L48" s="1"/>
  <c r="K6"/>
  <c r="F6"/>
  <c r="K5"/>
  <c r="F5"/>
  <c r="G5" s="1"/>
  <c r="H5" s="1"/>
  <c r="G48" l="1"/>
  <c r="L49"/>
  <c r="G49" s="1"/>
</calcChain>
</file>

<file path=xl/sharedStrings.xml><?xml version="1.0" encoding="utf-8"?>
<sst xmlns="http://schemas.openxmlformats.org/spreadsheetml/2006/main" count="82" uniqueCount="62">
  <si>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</si>
  <si>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</si>
  <si>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</si>
  <si>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</si>
  <si>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</si>
  <si>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</si>
  <si>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</si>
  <si>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</si>
  <si>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</si>
  <si>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</si>
  <si>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</si>
  <si>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</si>
  <si>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</si>
  <si>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</si>
  <si>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</si>
  <si>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</si>
  <si>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X048GZ_C127</t>
  </si>
  <si>
    <t>6-03</t>
  </si>
  <si>
    <t>1196262_HO26_PF</t>
  </si>
  <si>
    <t>ST841_FA26</t>
  </si>
  <si>
    <t>6-04</t>
  </si>
  <si>
    <t>766362_HO26</t>
  </si>
  <si>
    <t>766362_V1</t>
  </si>
  <si>
    <t>MRLPMM_3PC_C127</t>
  </si>
  <si>
    <t>6-05</t>
  </si>
  <si>
    <t>5GK4L2_C127/2-Jumper</t>
  </si>
  <si>
    <t>LPST840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</si>
  <si>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</si>
  <si>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</si>
  <si>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</si>
  <si>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</si>
  <si>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</si>
  <si>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</si>
  <si>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</si>
  <si>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</si>
  <si>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</si>
  <si>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</si>
  <si>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</si>
  <si>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</si>
  <si>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</si>
  <si>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</si>
  <si>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</si>
  <si>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</si>
  <si>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</si>
  <si>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ZC6HY000</t>
  </si>
  <si>
    <t>6-13</t>
  </si>
  <si>
    <t>6-14</t>
  </si>
  <si>
    <t>00GG4Z_C127IND</t>
  </si>
  <si>
    <t>6-15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</si>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</sst>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>
      <pane ySplit="4" topLeftCell="A5" activePane="bottomLeft" state="frozen"/>
      <selection pane="bottomLeft" activeCell="D5" sqref="D5:F47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46273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>
        <v>46265</v>
      </c>
      <c r="D5" s="37">
        <v>689</v>
      </c>
      <c r="E5" s="38">
        <v>9</v>
      </c>
      <c r="F5" s="39">
        <f>IF(E5=0,0,D5/E5)</f>
        <v>76.555555555555557</v>
      </c>
      <c r="G5" s="25">
        <f>IF(E5=0,0,SUMPRODUCT(F5:F6,J5:J6)/(I5*2.52))</f>
        <v>1.5180418513751848</v>
      </c>
      <c r="H5" s="26">
        <f>G5*I5*E5</f>
        <v>505.50793650793651</v>
      </c>
      <c r="I5" s="26">
        <v>37</v>
      </c>
      <c r="J5" s="5">
        <v>1.62</v>
      </c>
      <c r="K5" s="6">
        <f>2.52/J5*I5</f>
        <v>57.55555555555555</v>
      </c>
      <c r="L5" s="7">
        <f>E5*I5</f>
        <v>333</v>
      </c>
    </row>
    <row r="6" spans="1:12">
      <c r="A6" s="24"/>
      <c r="B6" s="3" t="s">
        <v>14</v>
      </c>
      <c r="C6" s="4">
        <v>46265</v>
      </c>
      <c r="D6" s="37">
        <v>95</v>
      </c>
      <c r="E6" s="38"/>
      <c r="F6" s="39">
        <f>IF(E5=0,0,D6/E5)</f>
        <v>10.555555555555555</v>
      </c>
      <c r="G6" s="25"/>
      <c r="H6" s="26"/>
      <c r="I6" s="26"/>
      <c r="J6" s="5">
        <v>1.66</v>
      </c>
      <c r="K6" s="6">
        <f>2.52/J6*I5</f>
        <v>56.168674698795179</v>
      </c>
      <c r="L6" s="7"/>
    </row>
    <row r="7" spans="1:12">
      <c r="A7" s="8" t="s">
        <v>15</v>
      </c>
      <c r="B7" s="3" t="s">
        <v>16</v>
      </c>
      <c r="C7" s="4">
        <v>46265</v>
      </c>
      <c r="D7" s="37">
        <v>1663</v>
      </c>
      <c r="E7" s="40">
        <v>9</v>
      </c>
      <c r="F7" s="39">
        <f>IF(E7=0,0,D7/E7)</f>
        <v>184.77777777777777</v>
      </c>
      <c r="G7" s="9">
        <f>IF(E7=0,0,SUMPRODUCT(F7:F7,J7:J7)/(I7*2.52))</f>
        <v>1.7516411914560062</v>
      </c>
      <c r="H7" s="10">
        <f>G7*I7*E7</f>
        <v>567.53174603174602</v>
      </c>
      <c r="I7" s="10">
        <v>36</v>
      </c>
      <c r="J7" s="5">
        <v>0.86</v>
      </c>
      <c r="K7" s="6">
        <f>2.52/J7*I7</f>
        <v>105.48837209302326</v>
      </c>
      <c r="L7" s="7">
        <f>E7*I7</f>
        <v>324</v>
      </c>
    </row>
    <row r="8" spans="1:12">
      <c r="A8" s="24" t="s">
        <v>17</v>
      </c>
      <c r="B8" s="3" t="s">
        <v>18</v>
      </c>
      <c r="C8" s="4"/>
      <c r="D8" s="37">
        <v>0</v>
      </c>
      <c r="E8" s="38">
        <v>8</v>
      </c>
      <c r="F8" s="39">
        <f>IF(E8=0,0,D8/E8)</f>
        <v>0</v>
      </c>
      <c r="G8" s="25">
        <f>IF(E8=0,0,SUMPRODUCT(F8:F9,J8:J9)/(I8*2.52))</f>
        <v>1.1780083655083657</v>
      </c>
      <c r="H8" s="26">
        <f>G8*I8*E8</f>
        <v>348.69047619047626</v>
      </c>
      <c r="I8" s="26">
        <v>37</v>
      </c>
      <c r="J8" s="5">
        <v>0.92</v>
      </c>
      <c r="K8" s="6">
        <f>2.52/J8*I8</f>
        <v>101.34782608695652</v>
      </c>
      <c r="L8" s="7">
        <f>E8*I8</f>
        <v>296</v>
      </c>
    </row>
    <row r="9" spans="1:12">
      <c r="A9" s="24"/>
      <c r="B9" s="3" t="s">
        <v>19</v>
      </c>
      <c r="C9" s="4">
        <v>46252</v>
      </c>
      <c r="D9" s="37">
        <v>505</v>
      </c>
      <c r="E9" s="38"/>
      <c r="F9" s="39">
        <f>IF(E8=0,0,D9/E8)</f>
        <v>63.125</v>
      </c>
      <c r="G9" s="25"/>
      <c r="H9" s="26"/>
      <c r="I9" s="26"/>
      <c r="J9" s="5">
        <v>1.74</v>
      </c>
      <c r="K9" s="6">
        <f>2.52/J9*I8</f>
        <v>53.586206896551722</v>
      </c>
      <c r="L9" s="7"/>
    </row>
    <row r="10" spans="1:12">
      <c r="A10" s="24" t="s">
        <v>20</v>
      </c>
      <c r="B10" s="3" t="s">
        <v>21</v>
      </c>
      <c r="C10" s="4">
        <v>46203</v>
      </c>
      <c r="D10" s="37">
        <v>120</v>
      </c>
      <c r="E10" s="38">
        <v>8</v>
      </c>
      <c r="F10" s="39">
        <f>IF(E10=0,0,D10/E10)</f>
        <v>15</v>
      </c>
      <c r="G10" s="25">
        <f>IF(E10=0,0,SUMPRODUCT(F10:F14,J10:J14)/(I10*2.52))</f>
        <v>0.33637655512655512</v>
      </c>
      <c r="H10" s="26">
        <f>G10*I10*E10</f>
        <v>99.567460317460316</v>
      </c>
      <c r="I10" s="26">
        <v>37</v>
      </c>
      <c r="J10" s="5">
        <v>0.85</v>
      </c>
      <c r="K10" s="6">
        <f>2.52/J10*I10</f>
        <v>109.69411764705883</v>
      </c>
      <c r="L10" s="7">
        <f>E10*I10</f>
        <v>296</v>
      </c>
    </row>
    <row r="11" spans="1:12">
      <c r="A11" s="24"/>
      <c r="B11" s="3" t="s">
        <v>21</v>
      </c>
      <c r="C11" s="4">
        <v>46203</v>
      </c>
      <c r="D11" s="37">
        <v>88</v>
      </c>
      <c r="E11" s="38"/>
      <c r="F11" s="39">
        <f>IF(E10=0,0,D11/E10)</f>
        <v>11</v>
      </c>
      <c r="G11" s="25"/>
      <c r="H11" s="26"/>
      <c r="I11" s="26"/>
      <c r="J11" s="5">
        <v>0.88</v>
      </c>
      <c r="K11" s="6">
        <f>2.52/J11*I10</f>
        <v>105.95454545454545</v>
      </c>
      <c r="L11" s="7"/>
    </row>
    <row r="12" spans="1:12">
      <c r="A12" s="24"/>
      <c r="B12" s="3" t="s">
        <v>22</v>
      </c>
      <c r="C12" s="4">
        <v>46269</v>
      </c>
      <c r="D12" s="37">
        <v>9</v>
      </c>
      <c r="E12" s="38"/>
      <c r="F12" s="39">
        <f>IF(E10=0,0,D12/E10)</f>
        <v>1.125</v>
      </c>
      <c r="G12" s="25"/>
      <c r="H12" s="26"/>
      <c r="I12" s="26"/>
      <c r="J12" s="5">
        <v>0.85</v>
      </c>
      <c r="K12" s="6">
        <f>2.52/J12*I10</f>
        <v>109.69411764705883</v>
      </c>
      <c r="L12" s="7"/>
    </row>
    <row r="13" spans="1:12">
      <c r="A13" s="24"/>
      <c r="B13" s="3" t="s">
        <v>22</v>
      </c>
      <c r="C13" s="4">
        <v>46269</v>
      </c>
      <c r="D13" s="37">
        <v>25</v>
      </c>
      <c r="E13" s="38"/>
      <c r="F13" s="39">
        <f>IF(E10=0,0,D13/E10)</f>
        <v>3.125</v>
      </c>
      <c r="G13" s="25"/>
      <c r="H13" s="26"/>
      <c r="I13" s="26"/>
      <c r="J13" s="5">
        <v>0.88</v>
      </c>
      <c r="K13" s="6">
        <f>2.52/J13*I10</f>
        <v>105.95454545454545</v>
      </c>
      <c r="L13" s="7"/>
    </row>
    <row r="14" spans="1:12">
      <c r="A14" s="24"/>
      <c r="B14" s="3" t="s">
        <v>23</v>
      </c>
      <c r="C14" s="4">
        <v>46273</v>
      </c>
      <c r="D14" s="37">
        <v>41</v>
      </c>
      <c r="E14" s="38"/>
      <c r="F14" s="39">
        <f>IF(E10=0,0,D14/E10)</f>
        <v>5.125</v>
      </c>
      <c r="G14" s="25"/>
      <c r="H14" s="26"/>
      <c r="I14" s="26"/>
      <c r="J14" s="5">
        <v>1.02</v>
      </c>
      <c r="K14" s="6">
        <f>2.52/J14*I10</f>
        <v>91.411764705882362</v>
      </c>
      <c r="L14" s="7"/>
    </row>
    <row r="15" spans="1:12">
      <c r="A15" s="24" t="s">
        <v>24</v>
      </c>
      <c r="B15" s="5" t="s">
        <v>25</v>
      </c>
      <c r="C15" s="4"/>
      <c r="D15" s="37">
        <v>0</v>
      </c>
      <c r="E15" s="38">
        <v>8</v>
      </c>
      <c r="F15" s="39">
        <f>IF(E15=0,0,D15/E15)</f>
        <v>0</v>
      </c>
      <c r="G15" s="25">
        <f>IF(E15=0,0,SUMPRODUCT(F15:F17,J15:J17)/(I15*2.52))</f>
        <v>1.0359071869488536</v>
      </c>
      <c r="H15" s="26">
        <f>G15*I15*E15</f>
        <v>298.34126984126988</v>
      </c>
      <c r="I15" s="26">
        <v>36</v>
      </c>
      <c r="J15" s="5">
        <v>1.6</v>
      </c>
      <c r="K15" s="6">
        <f>2.52/J15*I15</f>
        <v>56.699999999999996</v>
      </c>
      <c r="L15" s="7">
        <f>E15*I15</f>
        <v>288</v>
      </c>
    </row>
    <row r="16" spans="1:12">
      <c r="A16" s="24"/>
      <c r="B16" s="3" t="s">
        <v>26</v>
      </c>
      <c r="C16" s="4">
        <v>46254</v>
      </c>
      <c r="D16" s="37">
        <v>457</v>
      </c>
      <c r="E16" s="38"/>
      <c r="F16" s="39">
        <f>IF(E15=0,0,D16/E15)</f>
        <v>57.125</v>
      </c>
      <c r="G16" s="25"/>
      <c r="H16" s="26"/>
      <c r="I16" s="26"/>
      <c r="J16" s="5">
        <v>1.47</v>
      </c>
      <c r="K16" s="6">
        <f>2.52/J16*I15</f>
        <v>61.714285714285722</v>
      </c>
      <c r="L16" s="7"/>
    </row>
    <row r="17" spans="1:12">
      <c r="A17" s="24"/>
      <c r="B17" s="3" t="s">
        <v>26</v>
      </c>
      <c r="C17" s="4">
        <v>46254</v>
      </c>
      <c r="D17" s="37">
        <v>53</v>
      </c>
      <c r="E17" s="38"/>
      <c r="F17" s="39">
        <f>IF(E15=0,0,D17/E15)</f>
        <v>6.625</v>
      </c>
      <c r="G17" s="25"/>
      <c r="H17" s="26"/>
      <c r="I17" s="26"/>
      <c r="J17" s="5">
        <v>1.51</v>
      </c>
      <c r="K17" s="6">
        <f>2.52/J17*I15</f>
        <v>60.079470198675502</v>
      </c>
      <c r="L17" s="7"/>
    </row>
    <row r="18" spans="1:12">
      <c r="A18" s="24" t="s">
        <v>27</v>
      </c>
      <c r="B18" s="3" t="s">
        <v>28</v>
      </c>
      <c r="C18" s="4">
        <v>46122</v>
      </c>
      <c r="D18" s="37">
        <v>21</v>
      </c>
      <c r="E18" s="38">
        <v>9</v>
      </c>
      <c r="F18" s="39">
        <f>IF(E18=0,0,D18/E18)</f>
        <v>2.3333333333333335</v>
      </c>
      <c r="G18" s="25">
        <f>IF(E18=0,0,SUMPRODUCT(F18:F19,J18:J19)/(I18*2.52))</f>
        <v>2.017195767195767</v>
      </c>
      <c r="H18" s="26">
        <f>G18*I18*E18</f>
        <v>635.41666666666663</v>
      </c>
      <c r="I18" s="26">
        <v>35</v>
      </c>
      <c r="J18" s="5">
        <v>1.05</v>
      </c>
      <c r="K18" s="6">
        <f>2.52/J18*I18</f>
        <v>84</v>
      </c>
      <c r="L18" s="7">
        <f>E18*I18</f>
        <v>315</v>
      </c>
    </row>
    <row r="19" spans="1:12">
      <c r="A19" s="24"/>
      <c r="B19" s="3" t="s">
        <v>29</v>
      </c>
      <c r="C19" s="4">
        <v>46272</v>
      </c>
      <c r="D19" s="37">
        <v>1504</v>
      </c>
      <c r="E19" s="38"/>
      <c r="F19" s="39">
        <f>IF(E18=0,0,D19/E18)</f>
        <v>167.11111111111111</v>
      </c>
      <c r="G19" s="25"/>
      <c r="H19" s="26"/>
      <c r="I19" s="26"/>
      <c r="J19" s="5">
        <v>1.05</v>
      </c>
      <c r="K19" s="6">
        <f>2.52/J19*I18</f>
        <v>84</v>
      </c>
      <c r="L19" s="7"/>
    </row>
    <row r="20" spans="1:12">
      <c r="A20" s="24" t="s">
        <v>30</v>
      </c>
      <c r="B20" s="3" t="s">
        <v>31</v>
      </c>
      <c r="C20" s="4">
        <v>46255</v>
      </c>
      <c r="D20" s="37">
        <v>1603</v>
      </c>
      <c r="E20" s="38">
        <v>9</v>
      </c>
      <c r="F20" s="39">
        <f>IF(E20=0,0,D20/E20)</f>
        <v>178.11111111111111</v>
      </c>
      <c r="G20" s="25">
        <f>IF(E20=0,0,SUMPRODUCT(F20:F21,J20:J21)/(I20*2.52))</f>
        <v>1.9231850898517564</v>
      </c>
      <c r="H20" s="26">
        <f>G20*I20*E20</f>
        <v>640.42063492063494</v>
      </c>
      <c r="I20" s="26">
        <v>37</v>
      </c>
      <c r="J20" s="5">
        <v>0.7</v>
      </c>
      <c r="K20" s="6">
        <f>2.52/J20*I20</f>
        <v>133.20000000000002</v>
      </c>
      <c r="L20" s="7">
        <f>E20*I20</f>
        <v>333</v>
      </c>
    </row>
    <row r="21" spans="1:12">
      <c r="A21" s="24"/>
      <c r="B21" s="3" t="s">
        <v>31</v>
      </c>
      <c r="C21" s="4">
        <v>46255</v>
      </c>
      <c r="D21" s="37">
        <v>683</v>
      </c>
      <c r="E21" s="38"/>
      <c r="F21" s="39">
        <f>IF(E20=0,0,D21/E20)</f>
        <v>75.888888888888886</v>
      </c>
      <c r="G21" s="25"/>
      <c r="H21" s="26"/>
      <c r="I21" s="26"/>
      <c r="J21" s="5">
        <v>0.72</v>
      </c>
      <c r="K21" s="6">
        <f>2.52/J21*I20</f>
        <v>129.5</v>
      </c>
      <c r="L21" s="7"/>
    </row>
    <row r="22" spans="1:12">
      <c r="A22" s="24" t="s">
        <v>32</v>
      </c>
      <c r="B22" s="3" t="s">
        <v>22</v>
      </c>
      <c r="C22" s="4">
        <v>46179</v>
      </c>
      <c r="D22" s="37">
        <v>42</v>
      </c>
      <c r="E22" s="38">
        <v>9</v>
      </c>
      <c r="F22" s="39">
        <f>IF(E22=0,0,D22/E22)</f>
        <v>4.666666666666667</v>
      </c>
      <c r="G22" s="25">
        <f>IF(E22=0,0,SUMPRODUCT(F22:F25,J22:J25)/(I22*2.52))</f>
        <v>1.313663531256124</v>
      </c>
      <c r="H22" s="26">
        <f>G22*I22*E22</f>
        <v>425.62698412698415</v>
      </c>
      <c r="I22" s="26">
        <v>36</v>
      </c>
      <c r="J22" s="5">
        <v>0.85</v>
      </c>
      <c r="K22" s="6">
        <f>2.52/J22*I22</f>
        <v>106.72941176470589</v>
      </c>
      <c r="L22" s="7">
        <f>E22*I22</f>
        <v>324</v>
      </c>
    </row>
    <row r="23" spans="1:12">
      <c r="A23" s="24"/>
      <c r="B23" s="3" t="s">
        <v>22</v>
      </c>
      <c r="C23" s="4">
        <v>46179</v>
      </c>
      <c r="D23" s="37">
        <v>14</v>
      </c>
      <c r="E23" s="38"/>
      <c r="F23" s="39">
        <f>IF(E22=0,0,D23/E22)</f>
        <v>1.5555555555555556</v>
      </c>
      <c r="G23" s="25"/>
      <c r="H23" s="26"/>
      <c r="I23" s="26"/>
      <c r="J23" s="5">
        <v>0.88</v>
      </c>
      <c r="K23" s="6">
        <f>2.52/J23*I22</f>
        <v>103.09090909090909</v>
      </c>
      <c r="L23" s="7"/>
    </row>
    <row r="24" spans="1:12">
      <c r="A24" s="24"/>
      <c r="B24" s="3" t="s">
        <v>14</v>
      </c>
      <c r="C24" s="4">
        <v>46267</v>
      </c>
      <c r="D24" s="37">
        <v>531</v>
      </c>
      <c r="E24" s="38"/>
      <c r="F24" s="39">
        <f>IF(E22=0,0,D24/E22)</f>
        <v>59</v>
      </c>
      <c r="G24" s="25"/>
      <c r="H24" s="26"/>
      <c r="I24" s="26"/>
      <c r="J24" s="5">
        <v>1.62</v>
      </c>
      <c r="K24" s="6">
        <f>2.52/J24*I22</f>
        <v>55.999999999999993</v>
      </c>
      <c r="L24" s="7"/>
    </row>
    <row r="25" spans="1:12">
      <c r="A25" s="24"/>
      <c r="B25" s="3" t="s">
        <v>14</v>
      </c>
      <c r="C25" s="4">
        <v>46267</v>
      </c>
      <c r="D25" s="37">
        <v>99</v>
      </c>
      <c r="E25" s="38"/>
      <c r="F25" s="39">
        <f>IF(E22=0,0,D25/E22)</f>
        <v>11</v>
      </c>
      <c r="G25" s="25"/>
      <c r="H25" s="26"/>
      <c r="I25" s="26"/>
      <c r="J25" s="5">
        <v>1.66</v>
      </c>
      <c r="K25" s="6">
        <f>2.52/J25*I22</f>
        <v>54.650602409638552</v>
      </c>
      <c r="L25" s="7"/>
    </row>
    <row r="26" spans="1:12">
      <c r="A26" s="24" t="s">
        <v>33</v>
      </c>
      <c r="B26" s="5" t="s">
        <v>34</v>
      </c>
      <c r="C26" s="4">
        <v>46206</v>
      </c>
      <c r="D26" s="37">
        <v>14</v>
      </c>
      <c r="E26" s="38">
        <v>9</v>
      </c>
      <c r="F26" s="39">
        <f>IF(E26=0,0,D26/E26)</f>
        <v>1.5555555555555556</v>
      </c>
      <c r="G26" s="25">
        <f>IF(E26=0,0,SUMPRODUCT(F26:F31,J26:J31)/(I26*2.52))</f>
        <v>2.8021906618397843</v>
      </c>
      <c r="H26" s="26">
        <f>G26*I26*E26</f>
        <v>958.34920634920616</v>
      </c>
      <c r="I26" s="26">
        <v>38</v>
      </c>
      <c r="J26" s="5">
        <v>0.2</v>
      </c>
      <c r="K26" s="6">
        <f>2.52/J26*I26</f>
        <v>478.8</v>
      </c>
      <c r="L26" s="7">
        <f>E26*I26</f>
        <v>342</v>
      </c>
    </row>
    <row r="27" spans="1:12">
      <c r="A27" s="24"/>
      <c r="B27" s="5" t="s">
        <v>35</v>
      </c>
      <c r="C27" s="4">
        <v>46206</v>
      </c>
      <c r="D27" s="37">
        <v>3150</v>
      </c>
      <c r="E27" s="38"/>
      <c r="F27" s="39">
        <f>IF(E26=0,0,D27/E26)</f>
        <v>350</v>
      </c>
      <c r="G27" s="25"/>
      <c r="H27" s="26"/>
      <c r="I27" s="26"/>
      <c r="J27" s="5">
        <v>0.2</v>
      </c>
      <c r="K27" s="6">
        <f>2.52/J27*I26</f>
        <v>478.8</v>
      </c>
      <c r="L27" s="7"/>
    </row>
    <row r="28" spans="1:12">
      <c r="A28" s="24"/>
      <c r="B28" s="5" t="s">
        <v>36</v>
      </c>
      <c r="C28" s="4">
        <v>46206</v>
      </c>
      <c r="D28" s="37">
        <v>3279</v>
      </c>
      <c r="E28" s="38"/>
      <c r="F28" s="39">
        <f>IF(E26=0,0,D28/E26)</f>
        <v>364.33333333333331</v>
      </c>
      <c r="G28" s="25"/>
      <c r="H28" s="26"/>
      <c r="I28" s="26"/>
      <c r="J28" s="5">
        <v>0.2</v>
      </c>
      <c r="K28" s="6">
        <f>2.52/J28*I26</f>
        <v>478.8</v>
      </c>
      <c r="L28" s="7"/>
    </row>
    <row r="29" spans="1:12">
      <c r="A29" s="24"/>
      <c r="B29" s="5" t="s">
        <v>37</v>
      </c>
      <c r="C29" s="4">
        <v>46206</v>
      </c>
      <c r="D29" s="37">
        <v>2550</v>
      </c>
      <c r="E29" s="38"/>
      <c r="F29" s="39">
        <f>IF(E26=0,0,D29/E26)</f>
        <v>283.33333333333331</v>
      </c>
      <c r="G29" s="25"/>
      <c r="H29" s="26"/>
      <c r="I29" s="26"/>
      <c r="J29" s="5">
        <v>0.21</v>
      </c>
      <c r="K29" s="6">
        <f>2.52/J29*I26</f>
        <v>456</v>
      </c>
      <c r="L29" s="7"/>
    </row>
    <row r="30" spans="1:12">
      <c r="A30" s="24"/>
      <c r="B30" s="5" t="s">
        <v>38</v>
      </c>
      <c r="C30" s="4">
        <v>46206</v>
      </c>
      <c r="D30" s="37">
        <v>109</v>
      </c>
      <c r="E30" s="38"/>
      <c r="F30" s="39">
        <f>IF(E26=0,0,D30/E26)</f>
        <v>12.111111111111111</v>
      </c>
      <c r="G30" s="25"/>
      <c r="H30" s="26"/>
      <c r="I30" s="26"/>
      <c r="J30" s="5">
        <v>0.21</v>
      </c>
      <c r="K30" s="6">
        <f>2.52/J30*I26</f>
        <v>456</v>
      </c>
      <c r="L30" s="7"/>
    </row>
    <row r="31" spans="1:12">
      <c r="A31" s="24"/>
      <c r="B31" s="5" t="s">
        <v>39</v>
      </c>
      <c r="C31" s="4">
        <v>46206</v>
      </c>
      <c r="D31" s="37">
        <v>2705</v>
      </c>
      <c r="E31" s="38"/>
      <c r="F31" s="39">
        <f>IF(E26=0,0,D31/E26)</f>
        <v>300.55555555555554</v>
      </c>
      <c r="G31" s="25"/>
      <c r="H31" s="26"/>
      <c r="I31" s="26"/>
      <c r="J31" s="5">
        <v>0.21</v>
      </c>
      <c r="K31" s="6">
        <f>2.52/J31*I26</f>
        <v>456</v>
      </c>
      <c r="L31" s="7"/>
    </row>
    <row r="32" spans="1:12">
      <c r="A32" s="24" t="s">
        <v>40</v>
      </c>
      <c r="B32" s="3" t="s">
        <v>41</v>
      </c>
      <c r="C32" s="4">
        <v>46260</v>
      </c>
      <c r="D32" s="37">
        <v>1713</v>
      </c>
      <c r="E32" s="38">
        <v>9</v>
      </c>
      <c r="F32" s="39">
        <f>IF(E32=0,0,D32/E32)</f>
        <v>190.33333333333334</v>
      </c>
      <c r="G32" s="25">
        <f>IF(E32=0,0,SUMPRODUCT(F32:F33,J32:J33)/(I32*2.52))</f>
        <v>1.5108322608322609</v>
      </c>
      <c r="H32" s="26">
        <f>G32*I32*E32</f>
        <v>503.10714285714289</v>
      </c>
      <c r="I32" s="26">
        <v>37</v>
      </c>
      <c r="J32" s="5">
        <v>0.55000000000000004</v>
      </c>
      <c r="K32" s="6">
        <f>2.52/J32*I32</f>
        <v>169.5272727272727</v>
      </c>
      <c r="L32" s="7">
        <f>E32*I32</f>
        <v>333</v>
      </c>
    </row>
    <row r="33" spans="1:12">
      <c r="A33" s="24"/>
      <c r="B33" s="3" t="s">
        <v>41</v>
      </c>
      <c r="C33" s="4">
        <v>46260</v>
      </c>
      <c r="D33" s="37">
        <v>552</v>
      </c>
      <c r="E33" s="38"/>
      <c r="F33" s="39">
        <f>IF(E32=0,0,D33/E32)</f>
        <v>61.333333333333336</v>
      </c>
      <c r="G33" s="25"/>
      <c r="H33" s="26"/>
      <c r="I33" s="26"/>
      <c r="J33" s="5">
        <v>0.59</v>
      </c>
      <c r="K33" s="6">
        <f>2.52/J33*I32</f>
        <v>158.03389830508476</v>
      </c>
      <c r="L33" s="7"/>
    </row>
    <row r="34" spans="1:12">
      <c r="A34" s="8" t="s">
        <v>42</v>
      </c>
      <c r="B34" s="3" t="s">
        <v>23</v>
      </c>
      <c r="C34" s="4">
        <v>46258</v>
      </c>
      <c r="D34" s="37">
        <v>1231</v>
      </c>
      <c r="E34" s="40">
        <v>9</v>
      </c>
      <c r="F34" s="39">
        <f>IF(E34=0,0,D34/E34)</f>
        <v>136.77777777777777</v>
      </c>
      <c r="G34" s="9">
        <f>IF(E34=0,0,SUMPRODUCT(F34:F34,J34:J34)/(I34*2.52))</f>
        <v>1.8209023155259714</v>
      </c>
      <c r="H34" s="10">
        <f>G34*I34*E34</f>
        <v>508.03174603174602</v>
      </c>
      <c r="I34" s="10">
        <v>31</v>
      </c>
      <c r="J34" s="5">
        <v>1.04</v>
      </c>
      <c r="K34" s="6">
        <f>2.52/J34*I34</f>
        <v>75.115384615384613</v>
      </c>
      <c r="L34" s="7">
        <f>E34*I34</f>
        <v>279</v>
      </c>
    </row>
    <row r="35" spans="1:12">
      <c r="A35" s="8" t="s">
        <v>43</v>
      </c>
      <c r="B35" s="3" t="s">
        <v>44</v>
      </c>
      <c r="C35" s="4">
        <v>46255</v>
      </c>
      <c r="D35" s="37">
        <v>1486</v>
      </c>
      <c r="E35" s="40">
        <v>9</v>
      </c>
      <c r="F35" s="39">
        <f>IF(E35=0,0,D35/E35)</f>
        <v>165.11111111111111</v>
      </c>
      <c r="G35" s="9">
        <f>IF(E35=0,0,SUMPRODUCT(F35:F35,J35:J35)/(I35*2.52))</f>
        <v>1.1687401687401688</v>
      </c>
      <c r="H35" s="10">
        <f>G35*I35*E35</f>
        <v>389.1904761904762</v>
      </c>
      <c r="I35" s="10">
        <v>37</v>
      </c>
      <c r="J35" s="5">
        <v>0.66</v>
      </c>
      <c r="K35" s="6">
        <f>2.52/J35*I35</f>
        <v>141.27272727272725</v>
      </c>
      <c r="L35" s="7">
        <f>E35*I35</f>
        <v>333</v>
      </c>
    </row>
    <row r="36" spans="1:12">
      <c r="A36" s="24" t="s">
        <v>45</v>
      </c>
      <c r="B36" s="3" t="s">
        <v>41</v>
      </c>
      <c r="C36" s="4">
        <v>46267</v>
      </c>
      <c r="D36" s="37">
        <v>1430</v>
      </c>
      <c r="E36" s="38">
        <v>9</v>
      </c>
      <c r="F36" s="39">
        <f>IF(E36=0,0,D36/E36)</f>
        <v>158.88888888888889</v>
      </c>
      <c r="G36" s="25">
        <f>IF(E36=0,0,SUMPRODUCT(F36:F37,J36:J37)/(I36*2.52))</f>
        <v>1.413718820861678</v>
      </c>
      <c r="H36" s="26">
        <f>G36*I36*E36</f>
        <v>445.32142857142856</v>
      </c>
      <c r="I36" s="26">
        <v>35</v>
      </c>
      <c r="J36" s="5">
        <v>0.55000000000000004</v>
      </c>
      <c r="K36" s="6">
        <f>2.52/J36*I36</f>
        <v>160.36363636363635</v>
      </c>
      <c r="L36" s="7">
        <f>E36*I36</f>
        <v>315</v>
      </c>
    </row>
    <row r="37" spans="1:12">
      <c r="A37" s="24"/>
      <c r="B37" s="3" t="s">
        <v>41</v>
      </c>
      <c r="C37" s="4">
        <v>46267</v>
      </c>
      <c r="D37" s="37">
        <v>569</v>
      </c>
      <c r="E37" s="38"/>
      <c r="F37" s="39">
        <f>IF(E36=0,0,D37/E36)</f>
        <v>63.222222222222221</v>
      </c>
      <c r="G37" s="25"/>
      <c r="H37" s="26"/>
      <c r="I37" s="26"/>
      <c r="J37" s="5">
        <v>0.59</v>
      </c>
      <c r="K37" s="6">
        <f>2.52/J37*I36</f>
        <v>149.49152542372883</v>
      </c>
      <c r="L37" s="7"/>
    </row>
    <row r="38" spans="1:12">
      <c r="A38" s="8" t="s">
        <v>46</v>
      </c>
      <c r="B38" s="3" t="s">
        <v>47</v>
      </c>
      <c r="C38" s="4">
        <v>46246</v>
      </c>
      <c r="D38" s="37">
        <v>824</v>
      </c>
      <c r="E38" s="40">
        <v>9</v>
      </c>
      <c r="F38" s="39">
        <f>IF(E38=0,0,D38/E38)</f>
        <v>91.555555555555557</v>
      </c>
      <c r="G38" s="9">
        <f>IF(E38=0,0,SUMPRODUCT(F38:F38,J38:J38)/(I38*2.52))</f>
        <v>1.523907505388987</v>
      </c>
      <c r="H38" s="10">
        <f>G38*I38*E38</f>
        <v>493.7460317460318</v>
      </c>
      <c r="I38" s="10">
        <v>36</v>
      </c>
      <c r="J38" s="5">
        <v>1.51</v>
      </c>
      <c r="K38" s="6">
        <f>2.52/J38*I38</f>
        <v>60.079470198675502</v>
      </c>
      <c r="L38" s="7">
        <f>E38*I38</f>
        <v>324</v>
      </c>
    </row>
    <row r="39" spans="1:12">
      <c r="A39" s="24" t="s">
        <v>48</v>
      </c>
      <c r="B39" s="3" t="s">
        <v>26</v>
      </c>
      <c r="C39" s="4">
        <v>46253</v>
      </c>
      <c r="D39" s="37">
        <v>971</v>
      </c>
      <c r="E39" s="38">
        <v>9</v>
      </c>
      <c r="F39" s="39">
        <f>IF(E39=0,0,D39/E39)</f>
        <v>107.88888888888889</v>
      </c>
      <c r="G39" s="25">
        <f>IF(E39=0,0,SUMPRODUCT(F39:F40,J39:J40)/(I39*2.52))</f>
        <v>1.6561890838206625</v>
      </c>
      <c r="H39" s="26">
        <f>G39*I39*E39</f>
        <v>566.41666666666663</v>
      </c>
      <c r="I39" s="26">
        <v>38</v>
      </c>
      <c r="J39" s="5">
        <v>1.47</v>
      </c>
      <c r="K39" s="6">
        <f>2.52/J39*I39</f>
        <v>65.142857142857153</v>
      </c>
      <c r="L39" s="7">
        <f>E39*I39</f>
        <v>342</v>
      </c>
    </row>
    <row r="40" spans="1:12">
      <c r="A40" s="24"/>
      <c r="B40" s="3" t="s">
        <v>26</v>
      </c>
      <c r="C40" s="4">
        <v>46253</v>
      </c>
      <c r="D40" s="37">
        <v>0</v>
      </c>
      <c r="E40" s="38"/>
      <c r="F40" s="39">
        <f>IF(E39=0,0,D40/E39)</f>
        <v>0</v>
      </c>
      <c r="G40" s="25"/>
      <c r="H40" s="26"/>
      <c r="I40" s="26"/>
      <c r="J40" s="5">
        <v>1.51</v>
      </c>
      <c r="K40" s="6">
        <f>2.52/J40*I39</f>
        <v>63.41721854304636</v>
      </c>
      <c r="L40" s="7"/>
    </row>
    <row r="41" spans="1:12">
      <c r="A41" s="8" t="s">
        <v>49</v>
      </c>
      <c r="B41" s="3" t="s">
        <v>28</v>
      </c>
      <c r="C41" s="4">
        <v>46122</v>
      </c>
      <c r="D41" s="37">
        <v>1734</v>
      </c>
      <c r="E41" s="40">
        <v>9</v>
      </c>
      <c r="F41" s="39">
        <f>IF(E41=0,0,D41/E41)</f>
        <v>192.66666666666666</v>
      </c>
      <c r="G41" s="9">
        <f>IF(E41=0,0,SUMPRODUCT(F41:F41,J41:J41)/(I41*2.52))</f>
        <v>2.0584045584045585</v>
      </c>
      <c r="H41" s="10">
        <f>G41*I41*E41</f>
        <v>722.50000000000011</v>
      </c>
      <c r="I41" s="10">
        <v>39</v>
      </c>
      <c r="J41" s="5">
        <v>1.05</v>
      </c>
      <c r="K41" s="6">
        <f>2.52/J41*I41</f>
        <v>93.6</v>
      </c>
      <c r="L41" s="7">
        <f>E41*I41</f>
        <v>351</v>
      </c>
    </row>
    <row r="42" spans="1:12">
      <c r="A42" s="8" t="s">
        <v>50</v>
      </c>
      <c r="B42" s="3" t="s">
        <v>23</v>
      </c>
      <c r="C42" s="4">
        <v>46267</v>
      </c>
      <c r="D42" s="37">
        <v>1293</v>
      </c>
      <c r="E42" s="40">
        <v>9</v>
      </c>
      <c r="F42" s="39">
        <f>IF(E42=0,0,D42/E42)</f>
        <v>143.66666666666666</v>
      </c>
      <c r="G42" s="9">
        <f>IF(E42=0,0,SUMPRODUCT(F42:F42,J42:J42)/(I42*2.52))</f>
        <v>1.694909194909195</v>
      </c>
      <c r="H42" s="10">
        <f>G42*I42*E42</f>
        <v>564.40476190476193</v>
      </c>
      <c r="I42" s="10">
        <v>37</v>
      </c>
      <c r="J42" s="5">
        <v>1.1000000000000001</v>
      </c>
      <c r="K42" s="6">
        <f>2.52/J42*I42</f>
        <v>84.763636363636351</v>
      </c>
      <c r="L42" s="7">
        <f>E42*I42</f>
        <v>333</v>
      </c>
    </row>
    <row r="43" spans="1:12">
      <c r="A43" s="24" t="s">
        <v>51</v>
      </c>
      <c r="B43" s="3" t="s">
        <v>52</v>
      </c>
      <c r="C43" s="4">
        <v>46267</v>
      </c>
      <c r="D43" s="37">
        <v>0</v>
      </c>
      <c r="E43" s="38">
        <v>9</v>
      </c>
      <c r="F43" s="39">
        <f>IF(E43=0,0,D43/E43)</f>
        <v>0</v>
      </c>
      <c r="G43" s="25">
        <f>IF(E43=0,0,SUMPRODUCT(F43:F44,J43:J44)/(I43*2.52))</f>
        <v>1.691691691691692</v>
      </c>
      <c r="H43" s="26">
        <f>G43*I43*E43</f>
        <v>563.33333333333337</v>
      </c>
      <c r="I43" s="26">
        <v>37</v>
      </c>
      <c r="J43" s="5">
        <v>0.76</v>
      </c>
      <c r="K43" s="6">
        <f>2.52/J43*I43</f>
        <v>122.68421052631579</v>
      </c>
      <c r="L43" s="7">
        <f>E43*I43</f>
        <v>333</v>
      </c>
    </row>
    <row r="44" spans="1:12">
      <c r="A44" s="24"/>
      <c r="B44" s="3" t="s">
        <v>52</v>
      </c>
      <c r="C44" s="4">
        <v>46267</v>
      </c>
      <c r="D44" s="37">
        <v>1820</v>
      </c>
      <c r="E44" s="38"/>
      <c r="F44" s="39">
        <f>IF(E43=0,0,D44/E43)</f>
        <v>202.22222222222223</v>
      </c>
      <c r="G44" s="25"/>
      <c r="H44" s="26"/>
      <c r="I44" s="26"/>
      <c r="J44" s="5">
        <v>0.78</v>
      </c>
      <c r="K44" s="6">
        <f>2.52/J44*I43</f>
        <v>119.53846153846155</v>
      </c>
      <c r="L44" s="7"/>
    </row>
    <row r="45" spans="1:12">
      <c r="A45" s="24" t="s">
        <v>53</v>
      </c>
      <c r="B45" s="3" t="s">
        <v>41</v>
      </c>
      <c r="C45" s="4">
        <v>46266</v>
      </c>
      <c r="D45" s="37">
        <v>496</v>
      </c>
      <c r="E45" s="38">
        <v>9</v>
      </c>
      <c r="F45" s="39">
        <f>IF(E45=0,0,D45/E45)</f>
        <v>55.111111111111114</v>
      </c>
      <c r="G45" s="25">
        <f>IF(E45=0,0,SUMPRODUCT(F45:F46,J45:J46)/(I45*2.52))</f>
        <v>1.4933282279773505</v>
      </c>
      <c r="H45" s="26">
        <f>G45*I45*E45</f>
        <v>510.71825396825392</v>
      </c>
      <c r="I45" s="26">
        <v>38</v>
      </c>
      <c r="J45" s="5">
        <v>0.55000000000000004</v>
      </c>
      <c r="K45" s="6">
        <f>2.52/J45*I45</f>
        <v>174.1090909090909</v>
      </c>
      <c r="L45" s="7">
        <f>E45*I45</f>
        <v>342</v>
      </c>
    </row>
    <row r="46" spans="1:12">
      <c r="A46" s="24"/>
      <c r="B46" s="3" t="s">
        <v>41</v>
      </c>
      <c r="C46" s="4">
        <v>46266</v>
      </c>
      <c r="D46" s="37">
        <v>1719</v>
      </c>
      <c r="E46" s="38"/>
      <c r="F46" s="39">
        <f>IF(E45=0,0,D46/E45)</f>
        <v>191</v>
      </c>
      <c r="G46" s="25"/>
      <c r="H46" s="26"/>
      <c r="I46" s="26"/>
      <c r="J46" s="5">
        <v>0.59</v>
      </c>
      <c r="K46" s="6">
        <f>2.52/J46*I45</f>
        <v>162.30508474576271</v>
      </c>
      <c r="L46" s="7"/>
    </row>
    <row r="47" spans="1:12">
      <c r="A47" s="8" t="s">
        <v>54</v>
      </c>
      <c r="B47" s="3" t="s">
        <v>55</v>
      </c>
      <c r="C47" s="4">
        <v>46255</v>
      </c>
      <c r="D47" s="37">
        <v>1063</v>
      </c>
      <c r="E47" s="40">
        <v>9</v>
      </c>
      <c r="F47" s="39">
        <f>IF(E47=0,0,D47/E47)</f>
        <v>118.11111111111111</v>
      </c>
      <c r="G47" s="9">
        <f>IF(E47=0,0,SUMPRODUCT(F47:F47,J47:J47)/(I47*2.52))</f>
        <v>1.7006928697404888</v>
      </c>
      <c r="H47" s="10">
        <f>G47*I47*E47</f>
        <v>535.71825396825398</v>
      </c>
      <c r="I47" s="10">
        <v>35</v>
      </c>
      <c r="J47" s="5">
        <v>1.27</v>
      </c>
      <c r="K47" s="6">
        <f>2.52/J47*I47</f>
        <v>69.448818897637793</v>
      </c>
      <c r="L47" s="7">
        <f>E47*I47</f>
        <v>315</v>
      </c>
    </row>
    <row r="48" spans="1:12">
      <c r="A48" s="27" t="s">
        <v>56</v>
      </c>
      <c r="B48" s="28"/>
      <c r="C48" s="29"/>
      <c r="D48" s="11">
        <f>SUM(D5:D47)</f>
        <v>36950</v>
      </c>
      <c r="E48" s="12">
        <f>SUM(E5:E47)</f>
        <v>177</v>
      </c>
      <c r="F48" s="13"/>
      <c r="G48" s="14">
        <f>SUM(H5:H47)/L48</f>
        <v>1.5938521897675519</v>
      </c>
      <c r="H48" s="11"/>
      <c r="I48" s="11">
        <f>SUM(I5:I47)</f>
        <v>729</v>
      </c>
      <c r="J48" s="11"/>
      <c r="K48" s="13"/>
      <c r="L48" s="15">
        <f>SUM(L5:L47)</f>
        <v>6451</v>
      </c>
    </row>
    <row r="49" spans="1:12" ht="13.5" thickBot="1">
      <c r="A49" s="21" t="s">
        <v>57</v>
      </c>
      <c r="B49" s="22"/>
      <c r="C49" s="23"/>
      <c r="D49" s="16">
        <f>SUMIF(A5:A48, "&lt;&gt;Summary", D5:D48)</f>
        <v>36950</v>
      </c>
      <c r="E49" s="17">
        <f>SUMIF(A5:A48, "&lt;&gt;Summary", E5:E48)</f>
        <v>177</v>
      </c>
      <c r="F49" s="18"/>
      <c r="G49" s="19">
        <f>SUMIF(A5:A48, "&lt;&gt;Summary", H5:H48)/L49</f>
        <v>1.5938521897675519</v>
      </c>
      <c r="H49" s="16"/>
      <c r="I49" s="16">
        <f>SUMIF(A5:A48, "&lt;&gt;Summary", I5:I48)</f>
        <v>729</v>
      </c>
      <c r="J49" s="16"/>
      <c r="K49" s="18"/>
      <c r="L49" s="20">
        <f>SUMIF(A5:A48, "&lt;&gt;Summary", L5:L48)</f>
        <v>6451</v>
      </c>
    </row>
    <row r="50" spans="1:12" ht="13.5" thickTop="1"/>
    <row r="51" spans="1:12">
      <c r="C51" s="36" t="s">
        <v>58</v>
      </c>
      <c r="D51" s="36">
        <f>SUM(H5:H17)/SUM(L5:L17)</f>
        <v>1.1838899732523673</v>
      </c>
    </row>
    <row r="52" spans="1:12">
      <c r="C52" s="36" t="s">
        <v>59</v>
      </c>
      <c r="D52" s="36">
        <f>SUM(H18:H33)/SUM(L18:L33)</f>
        <v>1.920413257389578</v>
      </c>
    </row>
    <row r="53" spans="1:12">
      <c r="C53" s="36" t="s">
        <v>60</v>
      </c>
      <c r="D53" s="36">
        <f>SUM(H34:H40)/SUM(L34:L40)</f>
        <v>1.5082902380454168</v>
      </c>
    </row>
    <row r="54" spans="1:12">
      <c r="C54" s="36" t="s">
        <v>61</v>
      </c>
      <c r="D54" s="36">
        <f>SUM(H41:H47)/SUM(L41:L47)</f>
        <v>1.7303910413229411</v>
      </c>
    </row>
  </sheetData>
  <mergeCells count="7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8:A9"/>
    <mergeCell ref="E8:E9"/>
    <mergeCell ref="G8:G9"/>
    <mergeCell ref="H8:H9"/>
    <mergeCell ref="I8:I9"/>
    <mergeCell ref="A5:A6"/>
    <mergeCell ref="E5:E6"/>
    <mergeCell ref="G5:G6"/>
    <mergeCell ref="H5:H6"/>
    <mergeCell ref="I5:I6"/>
    <mergeCell ref="A15:A17"/>
    <mergeCell ref="E15:E17"/>
    <mergeCell ref="G15:G17"/>
    <mergeCell ref="H15:H17"/>
    <mergeCell ref="I15:I17"/>
    <mergeCell ref="A10:A14"/>
    <mergeCell ref="E10:E14"/>
    <mergeCell ref="G10:G14"/>
    <mergeCell ref="H10:H14"/>
    <mergeCell ref="I10:I14"/>
    <mergeCell ref="A20:A21"/>
    <mergeCell ref="E20:E21"/>
    <mergeCell ref="G20:G21"/>
    <mergeCell ref="H20:H21"/>
    <mergeCell ref="I20:I21"/>
    <mergeCell ref="A18:A19"/>
    <mergeCell ref="E18:E19"/>
    <mergeCell ref="G18:G19"/>
    <mergeCell ref="H18:H19"/>
    <mergeCell ref="I18:I19"/>
    <mergeCell ref="A26:A31"/>
    <mergeCell ref="E26:E31"/>
    <mergeCell ref="G26:G31"/>
    <mergeCell ref="H26:H31"/>
    <mergeCell ref="I26:I31"/>
    <mergeCell ref="A22:A25"/>
    <mergeCell ref="E22:E25"/>
    <mergeCell ref="G22:G25"/>
    <mergeCell ref="H22:H25"/>
    <mergeCell ref="I22:I25"/>
    <mergeCell ref="A36:A37"/>
    <mergeCell ref="E36:E37"/>
    <mergeCell ref="G36:G37"/>
    <mergeCell ref="H36:H37"/>
    <mergeCell ref="I36:I37"/>
    <mergeCell ref="A32:A33"/>
    <mergeCell ref="E32:E33"/>
    <mergeCell ref="G32:G33"/>
    <mergeCell ref="H32:H33"/>
    <mergeCell ref="I32:I33"/>
    <mergeCell ref="I45:I46"/>
    <mergeCell ref="A48:C48"/>
    <mergeCell ref="A39:A40"/>
    <mergeCell ref="E39:E40"/>
    <mergeCell ref="G39:G40"/>
    <mergeCell ref="H39:H40"/>
    <mergeCell ref="I39:I40"/>
    <mergeCell ref="A43:A44"/>
    <mergeCell ref="E43:E44"/>
    <mergeCell ref="G43:G44"/>
    <mergeCell ref="H43:H44"/>
    <mergeCell ref="I43:I44"/>
    <mergeCell ref="A49:C49"/>
    <mergeCell ref="A45:A46"/>
    <mergeCell ref="E45:E46"/>
    <mergeCell ref="G45:G46"/>
    <mergeCell ref="H45:H46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2026-09-09T00:57:01Z</dcterms:created>
  <dcterms:modified xsi:type="dcterms:W3CDTF">2026-09-09T00:59:07Z</dcterms:modified>
</cp:coreProperties>
</file>