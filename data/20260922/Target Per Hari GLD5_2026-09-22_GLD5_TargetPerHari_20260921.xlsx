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26" i="1"/>
  <c r="F20"/>
  <c r="F11"/>
  <c r="F6"/>
  <c r="F7"/>
  <c r="F8"/>
  <c r="F9"/>
  <c r="F10"/>
  <c r="F13"/>
  <c r="F14"/>
  <c r="F15"/>
  <c r="F16"/>
  <c r="F17"/>
  <c r="F18"/>
  <c r="F19"/>
  <c r="F22"/>
  <c r="F23"/>
  <c r="F34" s="1"/>
  <c r="F24"/>
  <c r="F25"/>
  <c r="F28"/>
  <c r="F29"/>
  <c r="F30"/>
  <c r="F31"/>
  <c r="F32"/>
  <c r="F33"/>
  <c r="F5"/>
  <c r="E34"/>
  <c r="D41"/>
  <c r="D40"/>
  <c r="D39"/>
  <c r="D38"/>
  <c r="O36" l="1"/>
  <c r="L36"/>
  <c r="I36"/>
  <c r="G36"/>
  <c r="D36"/>
  <c r="O34"/>
  <c r="I34" s="1"/>
  <c r="L34"/>
  <c r="G34"/>
  <c r="D34"/>
  <c r="O33"/>
  <c r="K33"/>
  <c r="I33"/>
  <c r="N33"/>
  <c r="H33"/>
  <c r="O32"/>
  <c r="K32"/>
  <c r="I32"/>
  <c r="N32"/>
  <c r="H32"/>
  <c r="O30"/>
  <c r="K30"/>
  <c r="I30"/>
  <c r="N31"/>
  <c r="H31"/>
  <c r="N30"/>
  <c r="H30"/>
  <c r="O29"/>
  <c r="K29"/>
  <c r="I29"/>
  <c r="N29"/>
  <c r="H29"/>
  <c r="O28"/>
  <c r="K28"/>
  <c r="I28"/>
  <c r="N28"/>
  <c r="H28"/>
  <c r="O26"/>
  <c r="K26"/>
  <c r="I26"/>
  <c r="N27"/>
  <c r="H27"/>
  <c r="N26"/>
  <c r="H26"/>
  <c r="O24"/>
  <c r="K24"/>
  <c r="I24"/>
  <c r="N25"/>
  <c r="H25"/>
  <c r="N24"/>
  <c r="H24"/>
  <c r="O23"/>
  <c r="K23"/>
  <c r="I23"/>
  <c r="N23"/>
  <c r="H23"/>
  <c r="O22"/>
  <c r="K22"/>
  <c r="I22"/>
  <c r="N22"/>
  <c r="H22"/>
  <c r="O20"/>
  <c r="K20"/>
  <c r="I20"/>
  <c r="N21"/>
  <c r="H21"/>
  <c r="N20"/>
  <c r="H20"/>
  <c r="O19"/>
  <c r="K19"/>
  <c r="I19"/>
  <c r="N19"/>
  <c r="H19"/>
  <c r="O18"/>
  <c r="K18"/>
  <c r="I18"/>
  <c r="N18"/>
  <c r="H18"/>
  <c r="O16"/>
  <c r="K16"/>
  <c r="I16"/>
  <c r="N17"/>
  <c r="H17"/>
  <c r="N16"/>
  <c r="H16"/>
  <c r="O14"/>
  <c r="K14"/>
  <c r="I14"/>
  <c r="N15"/>
  <c r="H15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5"/>
  <c r="K5"/>
  <c r="I5"/>
  <c r="N7"/>
  <c r="H7"/>
  <c r="N6"/>
  <c r="H6"/>
  <c r="N5"/>
  <c r="H5"/>
</calcChain>
</file>

<file path=xl/sharedStrings.xml><?xml version="1.0" encoding="utf-8"?>
<sst xmlns="http://schemas.openxmlformats.org/spreadsheetml/2006/main" count="71" uniqueCount="58">
  <si>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</si>
  <si>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</si>
  <si>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</si>
  <si>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</si>
  <si>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</si>
  <si>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</si>
  <si>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</si>
  <si>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</si>
  <si>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</si>
  <si>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</si>
  <si>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</si>
  <si>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</si>
  <si>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</si>
  <si>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</si>
  <si>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</si>
  <si>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</si>
  <si>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</si>
  <si>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</si>
  <si>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</si>
  <si>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</si>
  <si>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K880V_FA26</t>
  </si>
  <si>
    <t>5-04</t>
  </si>
  <si>
    <t>P68YG3_C127</t>
  </si>
  <si>
    <t>5-05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</si>
  <si>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</si>
  <si>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</si>
  <si>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</si>
  <si>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</si>
  <si>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</si>
  <si>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</si>
  <si>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</si>
  <si>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</si>
  <si>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</si>
  <si>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</si>
  <si>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</si>
  <si>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</si>
  <si>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</si>
  <si>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5-13</t>
  </si>
  <si>
    <t>5-14</t>
  </si>
  <si>
    <t>K880_FA26</t>
  </si>
  <si>
    <t>5-15</t>
  </si>
  <si>
    <t>5-16</t>
  </si>
  <si>
    <t>MAX233402_Q127</t>
  </si>
  <si>
    <t>5-17</t>
  </si>
  <si>
    <t>5-18</t>
  </si>
  <si>
    <t>00AD0_H127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</si>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</sst>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zoomScaleNormal="100" workbookViewId="0">
      <pane ySplit="4" topLeftCell="A5" activePane="bottomLeft" state="frozen"/>
      <selection pane="bottomLeft" activeCell="C11" sqref="C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4.57031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46286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55</v>
      </c>
      <c r="F3" s="43" t="s">
        <v>56</v>
      </c>
      <c r="G3" s="35" t="s">
        <v>5</v>
      </c>
      <c r="H3" s="35" t="s">
        <v>6</v>
      </c>
      <c r="I3" s="35" t="s">
        <v>7</v>
      </c>
      <c r="J3" s="43" t="s">
        <v>57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31" t="s">
        <v>13</v>
      </c>
      <c r="B5" s="3" t="s">
        <v>14</v>
      </c>
      <c r="C5" s="4">
        <v>46192</v>
      </c>
      <c r="D5" s="5">
        <v>30</v>
      </c>
      <c r="E5" s="45">
        <v>30</v>
      </c>
      <c r="F5" s="45">
        <f>D5-E5</f>
        <v>0</v>
      </c>
      <c r="G5" s="32">
        <v>9</v>
      </c>
      <c r="H5" s="6">
        <f>IF(G5=0,0,D5/G5)</f>
        <v>3.3333333333333335</v>
      </c>
      <c r="I5" s="33">
        <f>IF(G5=0,0,SUMPRODUCT(H5:H7,M5:M7)/(L5*2.52))</f>
        <v>1.3520186853520186</v>
      </c>
      <c r="J5" s="48">
        <v>1.4</v>
      </c>
      <c r="K5" s="34">
        <f>I5*L5*G5</f>
        <v>450.22222222222223</v>
      </c>
      <c r="L5" s="34">
        <v>37</v>
      </c>
      <c r="M5" s="5">
        <v>0.8</v>
      </c>
      <c r="N5" s="6">
        <f>2.52/M5*L5</f>
        <v>116.55</v>
      </c>
      <c r="O5" s="7">
        <f>G5*L5</f>
        <v>333</v>
      </c>
    </row>
    <row r="6" spans="1:15">
      <c r="A6" s="31"/>
      <c r="B6" s="3" t="s">
        <v>15</v>
      </c>
      <c r="C6" s="4">
        <v>46272</v>
      </c>
      <c r="D6" s="5">
        <v>279</v>
      </c>
      <c r="E6" s="45">
        <v>279</v>
      </c>
      <c r="F6" s="45">
        <f t="shared" ref="F6:F33" si="0">D6-E6</f>
        <v>0</v>
      </c>
      <c r="G6" s="32"/>
      <c r="H6" s="6">
        <f>IF(G5=0,0,D6/G5)</f>
        <v>31</v>
      </c>
      <c r="I6" s="33"/>
      <c r="J6" s="49"/>
      <c r="K6" s="34"/>
      <c r="L6" s="34"/>
      <c r="M6" s="5">
        <v>0.8</v>
      </c>
      <c r="N6" s="6">
        <f>2.52/M6*L5</f>
        <v>116.55</v>
      </c>
      <c r="O6" s="7"/>
    </row>
    <row r="7" spans="1:15">
      <c r="A7" s="31"/>
      <c r="B7" s="3" t="s">
        <v>16</v>
      </c>
      <c r="C7" s="4">
        <v>46279</v>
      </c>
      <c r="D7" s="5">
        <v>944</v>
      </c>
      <c r="E7" s="45">
        <v>918</v>
      </c>
      <c r="F7" s="45">
        <f t="shared" si="0"/>
        <v>26</v>
      </c>
      <c r="G7" s="32"/>
      <c r="H7" s="6">
        <f>IF(G5=0,0,D7/G5)</f>
        <v>104.88888888888889</v>
      </c>
      <c r="I7" s="33"/>
      <c r="J7" s="50"/>
      <c r="K7" s="34"/>
      <c r="L7" s="34"/>
      <c r="M7" s="5">
        <v>0.94</v>
      </c>
      <c r="N7" s="6">
        <f>2.52/M7*L5</f>
        <v>99.191489361702125</v>
      </c>
      <c r="O7" s="7"/>
    </row>
    <row r="8" spans="1:15">
      <c r="A8" s="8" t="s">
        <v>17</v>
      </c>
      <c r="B8" s="3" t="s">
        <v>18</v>
      </c>
      <c r="C8" s="4">
        <v>46276</v>
      </c>
      <c r="D8" s="5">
        <v>1142</v>
      </c>
      <c r="E8" s="45">
        <v>1142</v>
      </c>
      <c r="F8" s="45">
        <f t="shared" si="0"/>
        <v>0</v>
      </c>
      <c r="G8" s="9">
        <v>9</v>
      </c>
      <c r="H8" s="6">
        <f>IF(G8=0,0,D8/G8)</f>
        <v>126.88888888888889</v>
      </c>
      <c r="I8" s="10">
        <f>IF(G8=0,0,SUMPRODUCT(H8:H8,M8:M8)/(L8*2.52))</f>
        <v>2.0904013681791458</v>
      </c>
      <c r="J8" s="10">
        <v>1.7</v>
      </c>
      <c r="K8" s="11">
        <f>I8*L8*G8</f>
        <v>620.84920634920627</v>
      </c>
      <c r="L8" s="11">
        <v>33</v>
      </c>
      <c r="M8" s="5">
        <v>1.37</v>
      </c>
      <c r="N8" s="6">
        <f>2.52/M8*L8</f>
        <v>60.700729927007302</v>
      </c>
      <c r="O8" s="7">
        <f>G8*L8</f>
        <v>297</v>
      </c>
    </row>
    <row r="9" spans="1:15">
      <c r="A9" s="8" t="s">
        <v>19</v>
      </c>
      <c r="B9" s="3" t="s">
        <v>20</v>
      </c>
      <c r="C9" s="4">
        <v>46281</v>
      </c>
      <c r="D9" s="5">
        <v>791</v>
      </c>
      <c r="E9" s="45">
        <v>791</v>
      </c>
      <c r="F9" s="45">
        <f t="shared" si="0"/>
        <v>0</v>
      </c>
      <c r="G9" s="9">
        <v>9</v>
      </c>
      <c r="H9" s="6">
        <f>IF(G9=0,0,D9/G9)</f>
        <v>87.888888888888886</v>
      </c>
      <c r="I9" s="10">
        <f>IF(G9=0,0,SUMPRODUCT(H9:H9,M9:M9)/(L9*2.52))</f>
        <v>1.3739244294799851</v>
      </c>
      <c r="J9" s="10">
        <v>1.2</v>
      </c>
      <c r="K9" s="11">
        <f>I9*L9*G9</f>
        <v>408.05555555555554</v>
      </c>
      <c r="L9" s="11">
        <v>33</v>
      </c>
      <c r="M9" s="5">
        <v>1.3</v>
      </c>
      <c r="N9" s="6">
        <f>2.52/M9*L9</f>
        <v>63.969230769230769</v>
      </c>
      <c r="O9" s="7">
        <f>G9*L9</f>
        <v>297</v>
      </c>
    </row>
    <row r="10" spans="1:15">
      <c r="A10" s="8" t="s">
        <v>21</v>
      </c>
      <c r="B10" s="3" t="s">
        <v>22</v>
      </c>
      <c r="C10" s="4">
        <v>46265</v>
      </c>
      <c r="D10" s="5">
        <v>1652</v>
      </c>
      <c r="E10" s="45">
        <v>1644</v>
      </c>
      <c r="F10" s="45">
        <f t="shared" si="0"/>
        <v>8</v>
      </c>
      <c r="G10" s="9">
        <v>9</v>
      </c>
      <c r="H10" s="6">
        <f>IF(G10=0,0,D10/G10)</f>
        <v>183.55555555555554</v>
      </c>
      <c r="I10" s="10">
        <f>IF(G10=0,0,SUMPRODUCT(H10:H10,M10:M10)/(L10*2.52))</f>
        <v>1.8105820105820105</v>
      </c>
      <c r="J10" s="10">
        <v>1.6</v>
      </c>
      <c r="K10" s="11">
        <f>I10*L10*G10</f>
        <v>570.33333333333326</v>
      </c>
      <c r="L10" s="11">
        <v>35</v>
      </c>
      <c r="M10" s="5">
        <v>0.87</v>
      </c>
      <c r="N10" s="6">
        <f>2.52/M10*L10</f>
        <v>101.37931034482759</v>
      </c>
      <c r="O10" s="7">
        <f>G10*L10</f>
        <v>315</v>
      </c>
    </row>
    <row r="11" spans="1:15">
      <c r="A11" s="31" t="s">
        <v>23</v>
      </c>
      <c r="B11" s="3" t="s">
        <v>24</v>
      </c>
      <c r="C11" s="4">
        <v>46283</v>
      </c>
      <c r="D11" s="5">
        <v>457</v>
      </c>
      <c r="E11" s="46">
        <v>442</v>
      </c>
      <c r="F11" s="46">
        <f>D11+D12-E11</f>
        <v>28</v>
      </c>
      <c r="G11" s="32">
        <v>8</v>
      </c>
      <c r="H11" s="6">
        <f>IF(G11=0,0,D11/G11)</f>
        <v>57.125</v>
      </c>
      <c r="I11" s="33">
        <f>IF(G11=0,0,SUMPRODUCT(H11:H12,M11:M12)/(L11*2.52))</f>
        <v>1.0420634920634921</v>
      </c>
      <c r="J11" s="48">
        <v>1</v>
      </c>
      <c r="K11" s="34">
        <f>I11*L11*G11</f>
        <v>291.77777777777777</v>
      </c>
      <c r="L11" s="34">
        <v>35</v>
      </c>
      <c r="M11" s="5">
        <v>1.56</v>
      </c>
      <c r="N11" s="6">
        <f>2.52/M11*L11</f>
        <v>56.53846153846154</v>
      </c>
      <c r="O11" s="7">
        <f>G11*L11</f>
        <v>280</v>
      </c>
    </row>
    <row r="12" spans="1:15">
      <c r="A12" s="31"/>
      <c r="B12" s="3" t="s">
        <v>24</v>
      </c>
      <c r="C12" s="4">
        <v>46283</v>
      </c>
      <c r="D12" s="5">
        <v>13</v>
      </c>
      <c r="E12" s="47"/>
      <c r="F12" s="47"/>
      <c r="G12" s="32"/>
      <c r="H12" s="6">
        <f>IF(G11=0,0,D12/G11)</f>
        <v>1.625</v>
      </c>
      <c r="I12" s="33"/>
      <c r="J12" s="50"/>
      <c r="K12" s="34"/>
      <c r="L12" s="34"/>
      <c r="M12" s="5">
        <v>1.72</v>
      </c>
      <c r="N12" s="6">
        <f>2.52/M12*L11</f>
        <v>51.279069767441861</v>
      </c>
      <c r="O12" s="7"/>
    </row>
    <row r="13" spans="1:15">
      <c r="A13" s="8" t="s">
        <v>25</v>
      </c>
      <c r="B13" s="3" t="s">
        <v>26</v>
      </c>
      <c r="C13" s="4">
        <v>46279</v>
      </c>
      <c r="D13" s="5">
        <v>832</v>
      </c>
      <c r="E13" s="45">
        <v>827</v>
      </c>
      <c r="F13" s="45">
        <f t="shared" si="0"/>
        <v>5</v>
      </c>
      <c r="G13" s="9">
        <v>9</v>
      </c>
      <c r="H13" s="6">
        <f>IF(G13=0,0,D13/G13)</f>
        <v>92.444444444444443</v>
      </c>
      <c r="I13" s="10">
        <f>IF(G13=0,0,SUMPRODUCT(H13:H13,M13:M13)/(L13*2.52))</f>
        <v>1.1672278338945006</v>
      </c>
      <c r="J13" s="10">
        <v>1</v>
      </c>
      <c r="K13" s="11">
        <f>I13*L13*G13</f>
        <v>346.66666666666669</v>
      </c>
      <c r="L13" s="11">
        <v>33</v>
      </c>
      <c r="M13" s="5">
        <v>1.05</v>
      </c>
      <c r="N13" s="6">
        <f>2.52/M13*L13</f>
        <v>79.2</v>
      </c>
      <c r="O13" s="7">
        <f>G13*L13</f>
        <v>297</v>
      </c>
    </row>
    <row r="14" spans="1:15">
      <c r="A14" s="31" t="s">
        <v>27</v>
      </c>
      <c r="B14" s="3" t="s">
        <v>28</v>
      </c>
      <c r="C14" s="4">
        <v>46219</v>
      </c>
      <c r="D14" s="5">
        <v>275</v>
      </c>
      <c r="E14" s="45">
        <v>275</v>
      </c>
      <c r="F14" s="45">
        <f t="shared" si="0"/>
        <v>0</v>
      </c>
      <c r="G14" s="32">
        <v>8</v>
      </c>
      <c r="H14" s="6">
        <f>IF(G14=0,0,D14/G14)</f>
        <v>34.375</v>
      </c>
      <c r="I14" s="33">
        <f>IF(G14=0,0,SUMPRODUCT(H14:H15,M14:M15)/(L14*2.52))</f>
        <v>0.88470017636684306</v>
      </c>
      <c r="J14" s="48">
        <v>1.3</v>
      </c>
      <c r="K14" s="34">
        <f>I14*L14*G14</f>
        <v>254.79365079365081</v>
      </c>
      <c r="L14" s="34">
        <v>36</v>
      </c>
      <c r="M14" s="5">
        <v>1.84</v>
      </c>
      <c r="N14" s="6">
        <f>2.52/M14*L14</f>
        <v>49.304347826086953</v>
      </c>
      <c r="O14" s="7">
        <f>G14*L14</f>
        <v>288</v>
      </c>
    </row>
    <row r="15" spans="1:15">
      <c r="A15" s="31"/>
      <c r="B15" s="3" t="s">
        <v>29</v>
      </c>
      <c r="C15" s="4">
        <v>46272</v>
      </c>
      <c r="D15" s="5">
        <v>168</v>
      </c>
      <c r="E15" s="45">
        <v>164</v>
      </c>
      <c r="F15" s="45">
        <f t="shared" si="0"/>
        <v>4</v>
      </c>
      <c r="G15" s="32"/>
      <c r="H15" s="6">
        <f>IF(G14=0,0,D15/G14)</f>
        <v>21</v>
      </c>
      <c r="I15" s="33"/>
      <c r="J15" s="50"/>
      <c r="K15" s="34"/>
      <c r="L15" s="34"/>
      <c r="M15" s="5">
        <v>0.81</v>
      </c>
      <c r="N15" s="6">
        <f>2.52/M15*L14</f>
        <v>111.99999999999999</v>
      </c>
      <c r="O15" s="7"/>
    </row>
    <row r="16" spans="1:15">
      <c r="A16" s="31" t="s">
        <v>30</v>
      </c>
      <c r="B16" s="3" t="s">
        <v>24</v>
      </c>
      <c r="C16" s="4">
        <v>46280</v>
      </c>
      <c r="D16" s="5">
        <v>710</v>
      </c>
      <c r="E16" s="45">
        <v>697</v>
      </c>
      <c r="F16" s="45">
        <f t="shared" si="0"/>
        <v>13</v>
      </c>
      <c r="G16" s="32">
        <v>9</v>
      </c>
      <c r="H16" s="6">
        <f>IF(G16=0,0,D16/G16)</f>
        <v>78.888888888888886</v>
      </c>
      <c r="I16" s="33">
        <f>IF(G16=0,0,SUMPRODUCT(H16:H17,M16:M17)/(L16*2.52))</f>
        <v>1.4798781465448132</v>
      </c>
      <c r="J16" s="48">
        <v>1.5</v>
      </c>
      <c r="K16" s="34">
        <f>I16*L16*G16</f>
        <v>439.52380952380952</v>
      </c>
      <c r="L16" s="34">
        <v>33</v>
      </c>
      <c r="M16" s="5">
        <v>1.56</v>
      </c>
      <c r="N16" s="6">
        <f>2.52/M16*L16</f>
        <v>53.307692307692307</v>
      </c>
      <c r="O16" s="7">
        <f>G16*L16</f>
        <v>297</v>
      </c>
    </row>
    <row r="17" spans="1:15">
      <c r="A17" s="31"/>
      <c r="B17" s="3" t="s">
        <v>24</v>
      </c>
      <c r="C17" s="4">
        <v>46280</v>
      </c>
      <c r="D17" s="5">
        <v>0</v>
      </c>
      <c r="E17" s="45">
        <v>0</v>
      </c>
      <c r="F17" s="45">
        <f t="shared" si="0"/>
        <v>0</v>
      </c>
      <c r="G17" s="32"/>
      <c r="H17" s="6">
        <f>IF(G16=0,0,D17/G16)</f>
        <v>0</v>
      </c>
      <c r="I17" s="33"/>
      <c r="J17" s="50"/>
      <c r="K17" s="34"/>
      <c r="L17" s="34"/>
      <c r="M17" s="5">
        <v>1.72</v>
      </c>
      <c r="N17" s="6">
        <f>2.52/M17*L16</f>
        <v>48.348837209302324</v>
      </c>
      <c r="O17" s="7"/>
    </row>
    <row r="18" spans="1:15">
      <c r="A18" s="8" t="s">
        <v>31</v>
      </c>
      <c r="B18" s="3" t="s">
        <v>32</v>
      </c>
      <c r="C18" s="4">
        <v>46240</v>
      </c>
      <c r="D18" s="5">
        <v>678</v>
      </c>
      <c r="E18" s="45">
        <v>672</v>
      </c>
      <c r="F18" s="45">
        <f t="shared" si="0"/>
        <v>6</v>
      </c>
      <c r="G18" s="9">
        <v>9</v>
      </c>
      <c r="H18" s="6">
        <f>IF(G18=0,0,D18/G18)</f>
        <v>75.333333333333329</v>
      </c>
      <c r="I18" s="10">
        <f>IF(G18=0,0,SUMPRODUCT(H18:H18,M18:M18)/(L18*2.52))</f>
        <v>1.4448853615520281</v>
      </c>
      <c r="J18" s="10">
        <v>1.5</v>
      </c>
      <c r="K18" s="11">
        <f>I18*L18*G18</f>
        <v>468.14285714285711</v>
      </c>
      <c r="L18" s="11">
        <v>36</v>
      </c>
      <c r="M18" s="5">
        <v>1.74</v>
      </c>
      <c r="N18" s="6">
        <f>2.52/M18*L18</f>
        <v>52.137931034482762</v>
      </c>
      <c r="O18" s="7">
        <f>G18*L18</f>
        <v>324</v>
      </c>
    </row>
    <row r="19" spans="1:15">
      <c r="A19" s="8" t="s">
        <v>33</v>
      </c>
      <c r="B19" s="3" t="s">
        <v>34</v>
      </c>
      <c r="C19" s="4">
        <v>46267</v>
      </c>
      <c r="D19" s="5">
        <v>1600</v>
      </c>
      <c r="E19" s="45">
        <v>1600</v>
      </c>
      <c r="F19" s="45">
        <f t="shared" si="0"/>
        <v>0</v>
      </c>
      <c r="G19" s="9">
        <v>9</v>
      </c>
      <c r="H19" s="6">
        <f>IF(G19=0,0,D19/G19)</f>
        <v>177.77777777777777</v>
      </c>
      <c r="I19" s="10">
        <f>IF(G19=0,0,SUMPRODUCT(H19:H19,M19:M19)/(L19*2.52))</f>
        <v>1.5520282186948853</v>
      </c>
      <c r="J19" s="10">
        <v>1.6</v>
      </c>
      <c r="K19" s="11">
        <f>I19*L19*G19</f>
        <v>488.88888888888891</v>
      </c>
      <c r="L19" s="11">
        <v>35</v>
      </c>
      <c r="M19" s="5">
        <v>0.77</v>
      </c>
      <c r="N19" s="6">
        <f>2.52/M19*L19</f>
        <v>114.54545454545453</v>
      </c>
      <c r="O19" s="7">
        <f>G19*L19</f>
        <v>315</v>
      </c>
    </row>
    <row r="20" spans="1:15">
      <c r="A20" s="31" t="s">
        <v>35</v>
      </c>
      <c r="B20" s="3" t="s">
        <v>24</v>
      </c>
      <c r="C20" s="4">
        <v>46274</v>
      </c>
      <c r="D20" s="5">
        <v>772</v>
      </c>
      <c r="E20" s="46">
        <v>801</v>
      </c>
      <c r="F20" s="46">
        <f>D20+D21-E20</f>
        <v>8</v>
      </c>
      <c r="G20" s="32">
        <v>9</v>
      </c>
      <c r="H20" s="6">
        <f>IF(G20=0,0,D20/G20)</f>
        <v>85.777777777777771</v>
      </c>
      <c r="I20" s="33">
        <f>IF(G20=0,0,SUMPRODUCT(H20:H21,M20:M21)/(L20*2.52))</f>
        <v>1.5973293020912069</v>
      </c>
      <c r="J20" s="48">
        <v>1.6</v>
      </c>
      <c r="K20" s="34">
        <f>I20*L20*G20</f>
        <v>503.15873015873018</v>
      </c>
      <c r="L20" s="34">
        <v>35</v>
      </c>
      <c r="M20" s="5">
        <v>1.56</v>
      </c>
      <c r="N20" s="6">
        <f>2.52/M20*L20</f>
        <v>56.53846153846154</v>
      </c>
      <c r="O20" s="7">
        <f>G20*L20</f>
        <v>315</v>
      </c>
    </row>
    <row r="21" spans="1:15">
      <c r="A21" s="31"/>
      <c r="B21" s="3" t="s">
        <v>24</v>
      </c>
      <c r="C21" s="4">
        <v>46274</v>
      </c>
      <c r="D21" s="5">
        <v>37</v>
      </c>
      <c r="E21" s="47"/>
      <c r="F21" s="47"/>
      <c r="G21" s="32"/>
      <c r="H21" s="6">
        <f>IF(G20=0,0,D21/G20)</f>
        <v>4.1111111111111107</v>
      </c>
      <c r="I21" s="33"/>
      <c r="J21" s="50"/>
      <c r="K21" s="34"/>
      <c r="L21" s="34"/>
      <c r="M21" s="5">
        <v>1.72</v>
      </c>
      <c r="N21" s="6">
        <f>2.52/M21*L20</f>
        <v>51.279069767441861</v>
      </c>
      <c r="O21" s="7"/>
    </row>
    <row r="22" spans="1:15">
      <c r="A22" s="8" t="s">
        <v>36</v>
      </c>
      <c r="B22" s="3" t="s">
        <v>18</v>
      </c>
      <c r="C22" s="4">
        <v>46281</v>
      </c>
      <c r="D22" s="5">
        <v>1101</v>
      </c>
      <c r="E22" s="45">
        <v>1101</v>
      </c>
      <c r="F22" s="45">
        <f t="shared" si="0"/>
        <v>0</v>
      </c>
      <c r="G22" s="9">
        <v>9</v>
      </c>
      <c r="H22" s="6">
        <f>IF(G22=0,0,D22/G22)</f>
        <v>122.33333333333333</v>
      </c>
      <c r="I22" s="10">
        <f>IF(G22=0,0,SUMPRODUCT(H22:H22,M22:M22)/(L22*2.52))</f>
        <v>1.8474059376837155</v>
      </c>
      <c r="J22" s="10">
        <v>1.8</v>
      </c>
      <c r="K22" s="11">
        <f>I22*L22*G22</f>
        <v>598.55952380952385</v>
      </c>
      <c r="L22" s="11">
        <v>36</v>
      </c>
      <c r="M22" s="5">
        <v>1.37</v>
      </c>
      <c r="N22" s="6">
        <f>2.52/M22*L22</f>
        <v>66.21897810218978</v>
      </c>
      <c r="O22" s="7">
        <f>G22*L22</f>
        <v>324</v>
      </c>
    </row>
    <row r="23" spans="1:15">
      <c r="A23" s="8" t="s">
        <v>37</v>
      </c>
      <c r="B23" s="3" t="s">
        <v>22</v>
      </c>
      <c r="C23" s="4">
        <v>46255</v>
      </c>
      <c r="D23" s="5">
        <v>1696</v>
      </c>
      <c r="E23" s="45">
        <v>1701</v>
      </c>
      <c r="F23" s="45">
        <f t="shared" si="0"/>
        <v>-5</v>
      </c>
      <c r="G23" s="9">
        <v>9</v>
      </c>
      <c r="H23" s="6">
        <f>IF(G23=0,0,D23/G23)</f>
        <v>188.44444444444446</v>
      </c>
      <c r="I23" s="10">
        <f>IF(G23=0,0,SUMPRODUCT(H23:H23,M23:M23)/(L23*2.52))</f>
        <v>1.8071722516166964</v>
      </c>
      <c r="J23" s="10">
        <v>1.75</v>
      </c>
      <c r="K23" s="11">
        <f>I23*L23*G23</f>
        <v>585.52380952380963</v>
      </c>
      <c r="L23" s="11">
        <v>36</v>
      </c>
      <c r="M23" s="5">
        <v>0.87</v>
      </c>
      <c r="N23" s="6">
        <f>2.52/M23*L23</f>
        <v>104.27586206896552</v>
      </c>
      <c r="O23" s="7">
        <f>G23*L23</f>
        <v>324</v>
      </c>
    </row>
    <row r="24" spans="1:15">
      <c r="A24" s="31" t="s">
        <v>38</v>
      </c>
      <c r="B24" s="3" t="s">
        <v>39</v>
      </c>
      <c r="C24" s="4">
        <v>46192</v>
      </c>
      <c r="D24" s="5">
        <v>0</v>
      </c>
      <c r="E24" s="45">
        <v>0</v>
      </c>
      <c r="F24" s="45">
        <f t="shared" si="0"/>
        <v>0</v>
      </c>
      <c r="G24" s="32">
        <v>9</v>
      </c>
      <c r="H24" s="6">
        <f>IF(G24=0,0,D24/G24)</f>
        <v>0</v>
      </c>
      <c r="I24" s="33">
        <f>IF(G24=0,0,SUMPRODUCT(H24:H25,M24:M25)/(L24*2.52))</f>
        <v>1.7706992706992708</v>
      </c>
      <c r="J24" s="48">
        <v>1.8</v>
      </c>
      <c r="K24" s="34">
        <f>I24*L24*G24</f>
        <v>589.64285714285722</v>
      </c>
      <c r="L24" s="34">
        <v>37</v>
      </c>
      <c r="M24" s="5">
        <v>1.28</v>
      </c>
      <c r="N24" s="6">
        <f>2.52/M24*L24</f>
        <v>72.84375</v>
      </c>
      <c r="O24" s="7">
        <f>G24*L24</f>
        <v>333</v>
      </c>
    </row>
    <row r="25" spans="1:15">
      <c r="A25" s="31"/>
      <c r="B25" s="3" t="s">
        <v>20</v>
      </c>
      <c r="C25" s="4">
        <v>46209</v>
      </c>
      <c r="D25" s="5">
        <v>1143</v>
      </c>
      <c r="E25" s="45">
        <v>1143</v>
      </c>
      <c r="F25" s="45">
        <f t="shared" si="0"/>
        <v>0</v>
      </c>
      <c r="G25" s="32"/>
      <c r="H25" s="6">
        <f>IF(G24=0,0,D25/G24)</f>
        <v>127</v>
      </c>
      <c r="I25" s="33"/>
      <c r="J25" s="50"/>
      <c r="K25" s="34"/>
      <c r="L25" s="34"/>
      <c r="M25" s="5">
        <v>1.3</v>
      </c>
      <c r="N25" s="6">
        <f>2.52/M25*L24</f>
        <v>71.723076923076917</v>
      </c>
      <c r="O25" s="7"/>
    </row>
    <row r="26" spans="1:15">
      <c r="A26" s="31" t="s">
        <v>40</v>
      </c>
      <c r="B26" s="3" t="s">
        <v>24</v>
      </c>
      <c r="C26" s="4">
        <v>46275</v>
      </c>
      <c r="D26" s="5">
        <v>256</v>
      </c>
      <c r="E26" s="46">
        <v>809</v>
      </c>
      <c r="F26" s="46">
        <f>D26+D27-E26</f>
        <v>-6</v>
      </c>
      <c r="G26" s="32">
        <v>9</v>
      </c>
      <c r="H26" s="6">
        <f>IF(G26=0,0,D26/G26)</f>
        <v>28.444444444444443</v>
      </c>
      <c r="I26" s="33">
        <f>IF(G26=0,0,SUMPRODUCT(H26:H27,M26:M27)/(L26*2.52))</f>
        <v>1.6414364099549283</v>
      </c>
      <c r="J26" s="48">
        <v>1.5</v>
      </c>
      <c r="K26" s="34">
        <f>I26*L26*G26</f>
        <v>531.82539682539675</v>
      </c>
      <c r="L26" s="34">
        <v>36</v>
      </c>
      <c r="M26" s="5">
        <v>1.56</v>
      </c>
      <c r="N26" s="6">
        <f>2.52/M26*L26</f>
        <v>58.153846153846153</v>
      </c>
      <c r="O26" s="7">
        <f>G26*L26</f>
        <v>324</v>
      </c>
    </row>
    <row r="27" spans="1:15">
      <c r="A27" s="31"/>
      <c r="B27" s="3" t="s">
        <v>24</v>
      </c>
      <c r="C27" s="4">
        <v>46275</v>
      </c>
      <c r="D27" s="5">
        <v>547</v>
      </c>
      <c r="E27" s="47"/>
      <c r="F27" s="47"/>
      <c r="G27" s="32"/>
      <c r="H27" s="6">
        <f>IF(G26=0,0,D27/G26)</f>
        <v>60.777777777777779</v>
      </c>
      <c r="I27" s="33"/>
      <c r="J27" s="50"/>
      <c r="K27" s="34"/>
      <c r="L27" s="34"/>
      <c r="M27" s="5">
        <v>1.72</v>
      </c>
      <c r="N27" s="6">
        <f>2.52/M27*L26</f>
        <v>52.744186046511629</v>
      </c>
      <c r="O27" s="7"/>
    </row>
    <row r="28" spans="1:15">
      <c r="A28" s="8" t="s">
        <v>41</v>
      </c>
      <c r="B28" s="3" t="s">
        <v>42</v>
      </c>
      <c r="C28" s="4">
        <v>46253</v>
      </c>
      <c r="D28" s="5">
        <v>1800</v>
      </c>
      <c r="E28" s="45">
        <v>1800</v>
      </c>
      <c r="F28" s="45">
        <f t="shared" si="0"/>
        <v>0</v>
      </c>
      <c r="G28" s="9">
        <v>9</v>
      </c>
      <c r="H28" s="6">
        <f>IF(G28=0,0,D28/G28)</f>
        <v>200</v>
      </c>
      <c r="I28" s="10">
        <f>IF(G28=0,0,SUMPRODUCT(H28:H28,M28:M28)/(L28*2.52))</f>
        <v>1.7416225749559082</v>
      </c>
      <c r="J28" s="10">
        <v>1.7</v>
      </c>
      <c r="K28" s="11">
        <f>I28*L28*G28</f>
        <v>564.28571428571422</v>
      </c>
      <c r="L28" s="11">
        <v>36</v>
      </c>
      <c r="M28" s="5">
        <v>0.79</v>
      </c>
      <c r="N28" s="6">
        <f>2.52/M28*L28</f>
        <v>114.83544303797467</v>
      </c>
      <c r="O28" s="7">
        <f>G28*L28</f>
        <v>324</v>
      </c>
    </row>
    <row r="29" spans="1:15">
      <c r="A29" s="8" t="s">
        <v>43</v>
      </c>
      <c r="B29" s="3" t="s">
        <v>18</v>
      </c>
      <c r="C29" s="4">
        <v>46280</v>
      </c>
      <c r="D29" s="5">
        <v>900</v>
      </c>
      <c r="E29" s="45">
        <v>900</v>
      </c>
      <c r="F29" s="45">
        <f t="shared" si="0"/>
        <v>0</v>
      </c>
      <c r="G29" s="9">
        <v>9</v>
      </c>
      <c r="H29" s="6">
        <f>IF(G29=0,0,D29/G29)</f>
        <v>100</v>
      </c>
      <c r="I29" s="10">
        <f>IF(G29=0,0,SUMPRODUCT(H29:H29,M29:M29)/(L29*2.52))</f>
        <v>1.5989729225023341</v>
      </c>
      <c r="J29" s="10">
        <v>1.7</v>
      </c>
      <c r="K29" s="11">
        <f>I29*L29*G29</f>
        <v>489.28571428571422</v>
      </c>
      <c r="L29" s="11">
        <v>34</v>
      </c>
      <c r="M29" s="5">
        <v>1.37</v>
      </c>
      <c r="N29" s="6">
        <f>2.52/M29*L29</f>
        <v>62.540145985401459</v>
      </c>
      <c r="O29" s="7">
        <f>G29*L29</f>
        <v>306</v>
      </c>
    </row>
    <row r="30" spans="1:15">
      <c r="A30" s="31" t="s">
        <v>44</v>
      </c>
      <c r="B30" s="3" t="s">
        <v>29</v>
      </c>
      <c r="C30" s="4">
        <v>46268</v>
      </c>
      <c r="D30" s="5">
        <v>522</v>
      </c>
      <c r="E30" s="45">
        <v>517</v>
      </c>
      <c r="F30" s="45">
        <f t="shared" si="0"/>
        <v>5</v>
      </c>
      <c r="G30" s="32">
        <v>8</v>
      </c>
      <c r="H30" s="6">
        <f>IF(G30=0,0,D30/G30)</f>
        <v>65.25</v>
      </c>
      <c r="I30" s="33">
        <f>IF(G30=0,0,SUMPRODUCT(H30:H31,M30:M31)/(L30*2.52))</f>
        <v>0.72321428571428581</v>
      </c>
      <c r="J30" s="48">
        <v>1.25</v>
      </c>
      <c r="K30" s="34">
        <f>I30*L30*G30</f>
        <v>167.78571428571431</v>
      </c>
      <c r="L30" s="34">
        <v>29</v>
      </c>
      <c r="M30" s="5">
        <v>0.81</v>
      </c>
      <c r="N30" s="6">
        <f>2.52/M30*L30</f>
        <v>90.222222222222214</v>
      </c>
      <c r="O30" s="7">
        <f>G30*L30</f>
        <v>232</v>
      </c>
    </row>
    <row r="31" spans="1:15">
      <c r="A31" s="31"/>
      <c r="B31" s="3" t="s">
        <v>45</v>
      </c>
      <c r="C31" s="4">
        <v>46286</v>
      </c>
      <c r="D31" s="5">
        <v>0</v>
      </c>
      <c r="E31" s="45">
        <v>0</v>
      </c>
      <c r="F31" s="45">
        <f t="shared" si="0"/>
        <v>0</v>
      </c>
      <c r="G31" s="32"/>
      <c r="H31" s="6">
        <f>IF(G30=0,0,D31/G30)</f>
        <v>0</v>
      </c>
      <c r="I31" s="33"/>
      <c r="J31" s="50"/>
      <c r="K31" s="34"/>
      <c r="L31" s="34"/>
      <c r="M31" s="5">
        <v>1.04</v>
      </c>
      <c r="N31" s="6">
        <f>2.52/M31*L30</f>
        <v>70.269230769230759</v>
      </c>
      <c r="O31" s="7"/>
    </row>
    <row r="32" spans="1:15">
      <c r="A32" s="8" t="s">
        <v>46</v>
      </c>
      <c r="B32" s="3" t="s">
        <v>15</v>
      </c>
      <c r="C32" s="4">
        <v>46274</v>
      </c>
      <c r="D32" s="5">
        <v>1501</v>
      </c>
      <c r="E32" s="45">
        <v>1507</v>
      </c>
      <c r="F32" s="45">
        <f t="shared" si="0"/>
        <v>-6</v>
      </c>
      <c r="G32" s="9">
        <v>9</v>
      </c>
      <c r="H32" s="6">
        <f>IF(G32=0,0,D32/G32)</f>
        <v>166.77777777777777</v>
      </c>
      <c r="I32" s="10">
        <f>IF(G32=0,0,SUMPRODUCT(H32:H32,M32:M32)/(L32*2.52))</f>
        <v>1.3575724686835797</v>
      </c>
      <c r="J32" s="10">
        <v>1.5</v>
      </c>
      <c r="K32" s="11">
        <f>I32*L32*G32</f>
        <v>476.50793650793645</v>
      </c>
      <c r="L32" s="11">
        <v>39</v>
      </c>
      <c r="M32" s="5">
        <v>0.8</v>
      </c>
      <c r="N32" s="6">
        <f>2.52/M32*L32</f>
        <v>122.85</v>
      </c>
      <c r="O32" s="7">
        <f>G32*L32</f>
        <v>351</v>
      </c>
    </row>
    <row r="33" spans="1:15">
      <c r="A33" s="8" t="s">
        <v>47</v>
      </c>
      <c r="B33" s="3" t="s">
        <v>48</v>
      </c>
      <c r="C33" s="4">
        <v>46272</v>
      </c>
      <c r="D33" s="5">
        <v>645</v>
      </c>
      <c r="E33" s="45">
        <v>638</v>
      </c>
      <c r="F33" s="45">
        <f t="shared" si="0"/>
        <v>7</v>
      </c>
      <c r="G33" s="9">
        <v>9</v>
      </c>
      <c r="H33" s="6">
        <f>IF(G33=0,0,D33/G33)</f>
        <v>71.666666666666671</v>
      </c>
      <c r="I33" s="10">
        <f>IF(G33=0,0,SUMPRODUCT(H33:H33,M33:M33)/(L33*2.52))</f>
        <v>1.0380291005291007</v>
      </c>
      <c r="J33" s="10">
        <v>1.2</v>
      </c>
      <c r="K33" s="11">
        <f>I33*L33*G33</f>
        <v>373.69047619047626</v>
      </c>
      <c r="L33" s="11">
        <v>40</v>
      </c>
      <c r="M33" s="5">
        <v>1.46</v>
      </c>
      <c r="N33" s="6">
        <f>2.52/M33*L33</f>
        <v>69.041095890410958</v>
      </c>
      <c r="O33" s="7">
        <f>G33*L33</f>
        <v>360</v>
      </c>
    </row>
    <row r="34" spans="1:15">
      <c r="A34" s="25" t="s">
        <v>49</v>
      </c>
      <c r="B34" s="26"/>
      <c r="C34" s="27"/>
      <c r="D34" s="12">
        <f>SUM(D5:D33)</f>
        <v>20491</v>
      </c>
      <c r="E34" s="12">
        <f>SUM(E5:E33)</f>
        <v>20398</v>
      </c>
      <c r="F34" s="12">
        <f>F23+F26+F32</f>
        <v>-17</v>
      </c>
      <c r="G34" s="13">
        <f>SUM(G5:G33)</f>
        <v>177</v>
      </c>
      <c r="H34" s="14"/>
      <c r="I34" s="15">
        <f>SUM(K5:K33)/O34</f>
        <v>1.4784348687090829</v>
      </c>
      <c r="J34" s="15"/>
      <c r="K34" s="12"/>
      <c r="L34" s="12">
        <f>SUM(L5:L33)</f>
        <v>704</v>
      </c>
      <c r="M34" s="12"/>
      <c r="N34" s="14"/>
      <c r="O34" s="16">
        <f>SUM(O5:O33)</f>
        <v>6236</v>
      </c>
    </row>
    <row r="35" spans="1:15">
      <c r="A35" s="17"/>
      <c r="B35" s="5"/>
      <c r="C35" s="4"/>
      <c r="D35" s="5"/>
      <c r="E35" s="5"/>
      <c r="F35" s="5"/>
      <c r="G35" s="18"/>
      <c r="H35" s="6"/>
      <c r="I35" s="19"/>
      <c r="J35" s="19"/>
      <c r="K35" s="5"/>
      <c r="L35" s="5"/>
      <c r="M35" s="5"/>
      <c r="N35" s="6"/>
      <c r="O35" s="7"/>
    </row>
    <row r="36" spans="1:15" ht="13.5" thickBot="1">
      <c r="A36" s="28" t="s">
        <v>50</v>
      </c>
      <c r="B36" s="29"/>
      <c r="C36" s="30"/>
      <c r="D36" s="20">
        <f>SUMIF(A5:A35, "&lt;&gt;Summary", D5:D35)</f>
        <v>20491</v>
      </c>
      <c r="E36" s="20"/>
      <c r="F36" s="20"/>
      <c r="G36" s="21">
        <f>SUMIF(A5:A35, "&lt;&gt;Summary", G5:G35)</f>
        <v>177</v>
      </c>
      <c r="H36" s="22"/>
      <c r="I36" s="23">
        <f>SUMIF(A5:A35, "&lt;&gt;Summary", K5:K35)/O36</f>
        <v>1.4784348687090829</v>
      </c>
      <c r="J36" s="23"/>
      <c r="K36" s="20"/>
      <c r="L36" s="20">
        <f>SUMIF(A5:A35, "&lt;&gt;Summary", L5:L35)</f>
        <v>704</v>
      </c>
      <c r="M36" s="20"/>
      <c r="N36" s="22"/>
      <c r="O36" s="24">
        <f>SUMIF(A5:A35, "&lt;&gt;Summary", O5:O35)</f>
        <v>6236</v>
      </c>
    </row>
    <row r="37" spans="1:15" ht="13.5" thickTop="1"/>
    <row r="38" spans="1:15">
      <c r="C38" s="41" t="s">
        <v>51</v>
      </c>
      <c r="D38" s="42">
        <f>SUM(K5:K12)/SUM(O5:O12)</f>
        <v>1.5382641887241097</v>
      </c>
      <c r="E38" s="42"/>
      <c r="F38" s="42"/>
    </row>
    <row r="39" spans="1:15">
      <c r="C39" s="41" t="s">
        <v>52</v>
      </c>
      <c r="D39" s="42">
        <f>SUM(K13:K19)/SUM(O13:O19)</f>
        <v>1.3136199033634932</v>
      </c>
      <c r="E39" s="42"/>
      <c r="F39" s="42"/>
    </row>
    <row r="40" spans="1:15">
      <c r="C40" s="41" t="s">
        <v>53</v>
      </c>
      <c r="D40" s="42">
        <f>SUM(K20:K27)/SUM(O20:O27)</f>
        <v>1.7337718009014307</v>
      </c>
      <c r="E40" s="42"/>
      <c r="F40" s="42"/>
    </row>
    <row r="41" spans="1:15">
      <c r="C41" s="41" t="s">
        <v>54</v>
      </c>
      <c r="D41" s="42">
        <f>SUM(K28:K33)/SUM(O28:O33)</f>
        <v>1.3169456805820441</v>
      </c>
      <c r="E41" s="42"/>
      <c r="F41" s="42"/>
    </row>
  </sheetData>
  <mergeCells count="71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E11:E12"/>
    <mergeCell ref="F11:F12"/>
    <mergeCell ref="J11:J12"/>
    <mergeCell ref="A5:A7"/>
    <mergeCell ref="G5:G7"/>
    <mergeCell ref="I5:I7"/>
    <mergeCell ref="K5:K7"/>
    <mergeCell ref="L5:L7"/>
    <mergeCell ref="J5:J7"/>
    <mergeCell ref="A16:A17"/>
    <mergeCell ref="G16:G17"/>
    <mergeCell ref="I16:I17"/>
    <mergeCell ref="K16:K17"/>
    <mergeCell ref="L16:L17"/>
    <mergeCell ref="J16:J17"/>
    <mergeCell ref="A14:A15"/>
    <mergeCell ref="G14:G15"/>
    <mergeCell ref="I14:I15"/>
    <mergeCell ref="K14:K15"/>
    <mergeCell ref="L14:L15"/>
    <mergeCell ref="J14:J15"/>
    <mergeCell ref="A24:A25"/>
    <mergeCell ref="G24:G25"/>
    <mergeCell ref="I24:I25"/>
    <mergeCell ref="K24:K25"/>
    <mergeCell ref="L24:L25"/>
    <mergeCell ref="J24:J25"/>
    <mergeCell ref="A20:A21"/>
    <mergeCell ref="G20:G21"/>
    <mergeCell ref="I20:I21"/>
    <mergeCell ref="K20:K21"/>
    <mergeCell ref="L20:L21"/>
    <mergeCell ref="E20:E21"/>
    <mergeCell ref="F20:F21"/>
    <mergeCell ref="J20:J21"/>
    <mergeCell ref="K26:K27"/>
    <mergeCell ref="L26:L27"/>
    <mergeCell ref="A30:A31"/>
    <mergeCell ref="G30:G31"/>
    <mergeCell ref="I30:I31"/>
    <mergeCell ref="K30:K31"/>
    <mergeCell ref="L30:L31"/>
    <mergeCell ref="E26:E27"/>
    <mergeCell ref="F26:F27"/>
    <mergeCell ref="J26:J27"/>
    <mergeCell ref="J30:J31"/>
    <mergeCell ref="A34:C34"/>
    <mergeCell ref="A36:C36"/>
    <mergeCell ref="A26:A27"/>
    <mergeCell ref="G26:G27"/>
    <mergeCell ref="I26:I27"/>
  </mergeCells>
  <printOptions horizontalCentered="1"/>
  <pageMargins left="0.2" right="0.2" top="1" bottom="0.2" header="0.2" footer="0.2"/>
  <pageSetup paperSize="0" scale="74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2026-09-22T00:50:24Z</cp:lastPrinted>
  <dcterms:created xsi:type="dcterms:W3CDTF">2026-09-22T00:33:49Z</dcterms:created>
  <dcterms:modified xsi:type="dcterms:W3CDTF">2026-09-22T00:50:28Z</dcterms:modified>
</cp:coreProperties>
</file>