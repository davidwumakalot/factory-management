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45" windowWidth="20955" windowHeight="12480"/>
  </bookViews>
  <sheets>
    <sheet name="TargetPerHari" sheetId="1" r:id="rId1"/>
    <sheet name="Sheet2" sheetId="2" r:id="rId2"/>
    <sheet name="Sheet3" sheetId="3" r:id="rId3"/>
  </sheets>
  <definedNames>
    <definedName name="_xlnm.Print_Titles" localSheetId="0">TargetPerHari!$1:$4</definedName>
  </definedNames>
  <calcPr calcId="125725"/>
</workbook>
</file>

<file path=xl/calcChain.xml><?xml version="1.0" encoding="utf-8"?>
<calcChain xmlns="http://schemas.openxmlformats.org/spreadsheetml/2006/main">
  <c r="I40" i="1"/>
  <c r="E40"/>
  <c r="D40"/>
  <c r="I38"/>
  <c r="E38"/>
  <c r="D38"/>
  <c r="L37"/>
  <c r="K37"/>
  <c r="F37"/>
  <c r="G37" s="1"/>
  <c r="H37" s="1"/>
  <c r="L36"/>
  <c r="H36"/>
  <c r="G36"/>
  <c r="K36"/>
  <c r="F36"/>
  <c r="L35"/>
  <c r="K35"/>
  <c r="F35"/>
  <c r="G35" s="1"/>
  <c r="H35" s="1"/>
  <c r="L34"/>
  <c r="K34"/>
  <c r="F34"/>
  <c r="G34" s="1"/>
  <c r="H34" s="1"/>
  <c r="L33"/>
  <c r="K33"/>
  <c r="F33"/>
  <c r="G33" s="1"/>
  <c r="H33" s="1"/>
  <c r="L31"/>
  <c r="K32"/>
  <c r="F32"/>
  <c r="K31"/>
  <c r="F31"/>
  <c r="G31" s="1"/>
  <c r="H31" s="1"/>
  <c r="L30"/>
  <c r="G30"/>
  <c r="H30" s="1"/>
  <c r="K30"/>
  <c r="F30"/>
  <c r="L29"/>
  <c r="K29"/>
  <c r="F29"/>
  <c r="G29" s="1"/>
  <c r="H29" s="1"/>
  <c r="L25"/>
  <c r="K28"/>
  <c r="F28"/>
  <c r="K27"/>
  <c r="F27"/>
  <c r="K26"/>
  <c r="F26"/>
  <c r="K25"/>
  <c r="F25"/>
  <c r="G25" s="1"/>
  <c r="H25" s="1"/>
  <c r="L23"/>
  <c r="K24"/>
  <c r="F24"/>
  <c r="K23"/>
  <c r="F23"/>
  <c r="G23" s="1"/>
  <c r="H23" s="1"/>
  <c r="L22"/>
  <c r="K22"/>
  <c r="F22"/>
  <c r="G22" s="1"/>
  <c r="H22" s="1"/>
  <c r="L21"/>
  <c r="K21"/>
  <c r="F21"/>
  <c r="G21" s="1"/>
  <c r="H21" s="1"/>
  <c r="L18"/>
  <c r="K20"/>
  <c r="F20"/>
  <c r="K19"/>
  <c r="F19"/>
  <c r="K18"/>
  <c r="F18"/>
  <c r="G18" s="1"/>
  <c r="H18" s="1"/>
  <c r="L16"/>
  <c r="K17"/>
  <c r="F17"/>
  <c r="K16"/>
  <c r="F16"/>
  <c r="G16" s="1"/>
  <c r="H16" s="1"/>
  <c r="L15"/>
  <c r="K15"/>
  <c r="F15"/>
  <c r="G15" s="1"/>
  <c r="H15" s="1"/>
  <c r="L10"/>
  <c r="K14"/>
  <c r="F14"/>
  <c r="K13"/>
  <c r="F13"/>
  <c r="K12"/>
  <c r="F12"/>
  <c r="K11"/>
  <c r="F11"/>
  <c r="K10"/>
  <c r="F10"/>
  <c r="L9"/>
  <c r="G9"/>
  <c r="H9" s="1"/>
  <c r="K9"/>
  <c r="F9"/>
  <c r="L8"/>
  <c r="K8"/>
  <c r="F8"/>
  <c r="G8" s="1"/>
  <c r="H8" s="1"/>
  <c r="L7"/>
  <c r="K7"/>
  <c r="F7"/>
  <c r="G7" s="1"/>
  <c r="H7" s="1"/>
  <c r="L5"/>
  <c r="K6"/>
  <c r="F6"/>
  <c r="K5"/>
  <c r="F5"/>
  <c r="G5" s="1"/>
  <c r="H5" s="1"/>
  <c r="L40" l="1"/>
  <c r="G10"/>
  <c r="H10" s="1"/>
  <c r="D42" s="1"/>
  <c r="D43"/>
  <c r="D45"/>
  <c r="L38"/>
  <c r="G38" s="1"/>
  <c r="D44"/>
  <c r="G40" l="1"/>
</calcChain>
</file>

<file path=xl/sharedStrings.xml><?xml version="1.0" encoding="utf-8"?>
<sst xmlns="http://schemas.openxmlformats.org/spreadsheetml/2006/main" count="72" uniqueCount="58">
  <si>
    <t>Date :</t>
  </si>
  <si>
    <t>Line</t>
  </si>
  <si>
    <t>Style</t>
  </si>
  <si>
    <t>Layout (Sewing In Pertama Hari)</t>
  </si>
  <si>
    <t>pcs/hari</t>
  </si>
  <si>
    <t>JKK</t>
  </si>
  <si>
    <t>pcs/jam</t>
  </si>
  <si>
    <t>prosentase</t>
  </si>
  <si>
    <t>EFF%</t>
  </si>
  <si>
    <t>Persons</t>
  </si>
  <si>
    <t>IE</t>
  </si>
  <si>
    <t>STD output</t>
  </si>
  <si>
    <t>Ttl Hours</t>
  </si>
  <si>
    <t>5-01</t>
  </si>
  <si>
    <t>DAB14127_Q127</t>
  </si>
  <si>
    <t>DAB15113PR_Q127</t>
  </si>
  <si>
    <t>5-02</t>
  </si>
  <si>
    <t>P6W6E9_C127</t>
  </si>
  <si>
    <t>5-03</t>
  </si>
  <si>
    <t>K880V_FA26</t>
  </si>
  <si>
    <t>5-04</t>
  </si>
  <si>
    <t>P68YG3_C127</t>
  </si>
  <si>
    <t>5-05</t>
  </si>
  <si>
    <t>G9MLYZ_C127</t>
  </si>
  <si>
    <t>W98Z8Z_C426IND</t>
  </si>
  <si>
    <t>K86W2L_C426IND</t>
  </si>
  <si>
    <t>5-06</t>
  </si>
  <si>
    <t>G95056_C127</t>
  </si>
  <si>
    <t>5-07</t>
  </si>
  <si>
    <t>K881_FA26</t>
  </si>
  <si>
    <t>315260003_SP27</t>
  </si>
  <si>
    <t>5-08</t>
  </si>
  <si>
    <t>319260003</t>
  </si>
  <si>
    <t>5-09</t>
  </si>
  <si>
    <t>ST841_FA26</t>
  </si>
  <si>
    <t>5-10</t>
  </si>
  <si>
    <t>1KM1XY_C127</t>
  </si>
  <si>
    <t>5-11</t>
  </si>
  <si>
    <t>5-12</t>
  </si>
  <si>
    <t>K864_FA26</t>
  </si>
  <si>
    <t>K864_SP26</t>
  </si>
  <si>
    <t>LK864_FA26</t>
  </si>
  <si>
    <t>5-13</t>
  </si>
  <si>
    <t>5-14</t>
  </si>
  <si>
    <t>5-15</t>
  </si>
  <si>
    <t>5-16</t>
  </si>
  <si>
    <t>MAX233402_Q127</t>
  </si>
  <si>
    <t>5-17</t>
  </si>
  <si>
    <t>5-18</t>
  </si>
  <si>
    <t>5-19</t>
  </si>
  <si>
    <t>5-20</t>
  </si>
  <si>
    <t>WCG2032_Q127</t>
  </si>
  <si>
    <t>Summary</t>
  </si>
  <si>
    <t>Grand Total</t>
  </si>
  <si>
    <t>LINE 1-5</t>
  </si>
  <si>
    <t>LINE 6-10</t>
  </si>
  <si>
    <t>LINE 11-15</t>
  </si>
  <si>
    <t>LINE 16-20</t>
  </si>
</sst>
</file>

<file path=xl/styles.xml><?xml version="1.0" encoding="utf-8"?>
<styleSheet xmlns="http://schemas.openxmlformats.org/spreadsheetml/2006/main">
  <numFmts count="4">
    <numFmt numFmtId="164" formatCode="[$-409]dd\-mmm\-yyyy;@"/>
    <numFmt numFmtId="165" formatCode="0.00_ "/>
    <numFmt numFmtId="166" formatCode="0_ "/>
    <numFmt numFmtId="167" formatCode="0.0%"/>
  </numFmts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0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164" fontId="1" fillId="0" borderId="0" xfId="0" applyNumberFormat="1" applyFont="1"/>
    <xf numFmtId="49" fontId="1" fillId="0" borderId="5" xfId="0" applyNumberFormat="1" applyFont="1" applyBorder="1"/>
    <xf numFmtId="164" fontId="1" fillId="0" borderId="5" xfId="0" applyNumberFormat="1" applyFont="1" applyBorder="1"/>
    <xf numFmtId="0" fontId="1" fillId="0" borderId="5" xfId="0" applyFont="1" applyBorder="1"/>
    <xf numFmtId="166" fontId="1" fillId="0" borderId="5" xfId="0" applyNumberFormat="1" applyFont="1" applyBorder="1"/>
    <xf numFmtId="0" fontId="1" fillId="0" borderId="6" xfId="0" applyFont="1" applyBorder="1"/>
    <xf numFmtId="49" fontId="1" fillId="0" borderId="4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5" xfId="0" applyFont="1" applyFill="1" applyBorder="1"/>
    <xf numFmtId="165" fontId="1" fillId="2" borderId="5" xfId="0" applyNumberFormat="1" applyFont="1" applyFill="1" applyBorder="1"/>
    <xf numFmtId="166" fontId="1" fillId="2" borderId="5" xfId="0" applyNumberFormat="1" applyFont="1" applyFill="1" applyBorder="1"/>
    <xf numFmtId="167" fontId="1" fillId="2" borderId="5" xfId="0" applyNumberFormat="1" applyFont="1" applyFill="1" applyBorder="1"/>
    <xf numFmtId="0" fontId="1" fillId="2" borderId="6" xfId="0" applyFont="1" applyFill="1" applyBorder="1"/>
    <xf numFmtId="0" fontId="1" fillId="0" borderId="4" xfId="0" applyFont="1" applyBorder="1"/>
    <xf numFmtId="165" fontId="1" fillId="0" borderId="5" xfId="0" applyNumberFormat="1" applyFont="1" applyBorder="1"/>
    <xf numFmtId="167" fontId="1" fillId="0" borderId="5" xfId="0" applyNumberFormat="1" applyFont="1" applyBorder="1"/>
    <xf numFmtId="0" fontId="1" fillId="2" borderId="8" xfId="0" applyFont="1" applyFill="1" applyBorder="1"/>
    <xf numFmtId="165" fontId="1" fillId="2" borderId="8" xfId="0" applyNumberFormat="1" applyFont="1" applyFill="1" applyBorder="1"/>
    <xf numFmtId="166" fontId="1" fillId="2" borderId="8" xfId="0" applyNumberFormat="1" applyFont="1" applyFill="1" applyBorder="1"/>
    <xf numFmtId="167" fontId="1" fillId="2" borderId="8" xfId="0" applyNumberFormat="1" applyFont="1" applyFill="1" applyBorder="1"/>
    <xf numFmtId="0" fontId="1" fillId="2" borderId="9" xfId="0" applyFont="1" applyFill="1" applyBorder="1"/>
    <xf numFmtId="0" fontId="2" fillId="0" borderId="0" xfId="0" applyFont="1"/>
    <xf numFmtId="167" fontId="2" fillId="0" borderId="0" xfId="0" applyNumberFormat="1" applyFont="1"/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5"/>
  <sheetViews>
    <sheetView tabSelected="1" workbookViewId="0">
      <pane ySplit="4" topLeftCell="A5" activePane="bottomLeft" state="frozen"/>
      <selection pane="bottomLeft" activeCell="F21" sqref="F21"/>
    </sheetView>
  </sheetViews>
  <sheetFormatPr defaultRowHeight="12.75"/>
  <cols>
    <col min="1" max="1" width="10.7109375" style="1" customWidth="1"/>
    <col min="2" max="2" width="16.7109375" style="1" customWidth="1"/>
    <col min="3" max="3" width="12.7109375" style="1" customWidth="1"/>
    <col min="4" max="8" width="8.7109375" style="1" customWidth="1"/>
    <col min="9" max="16384" width="9.140625" style="1"/>
  </cols>
  <sheetData>
    <row r="1" spans="1:12">
      <c r="A1" s="1" t="s">
        <v>0</v>
      </c>
      <c r="B1" s="2">
        <v>46282</v>
      </c>
    </row>
    <row r="2" spans="1:12" ht="13.5" thickBot="1"/>
    <row r="3" spans="1:12" ht="13.5" customHeight="1" thickTop="1">
      <c r="A3" s="29" t="s">
        <v>1</v>
      </c>
      <c r="B3" s="31" t="s">
        <v>2</v>
      </c>
      <c r="C3" s="31" t="s">
        <v>3</v>
      </c>
      <c r="D3" s="31" t="s">
        <v>4</v>
      </c>
      <c r="E3" s="31" t="s">
        <v>5</v>
      </c>
      <c r="F3" s="31" t="s">
        <v>6</v>
      </c>
      <c r="G3" s="31" t="s">
        <v>7</v>
      </c>
      <c r="H3" s="31" t="s">
        <v>8</v>
      </c>
      <c r="I3" s="31" t="s">
        <v>9</v>
      </c>
      <c r="J3" s="31" t="s">
        <v>10</v>
      </c>
      <c r="K3" s="31" t="s">
        <v>11</v>
      </c>
      <c r="L3" s="27" t="s">
        <v>12</v>
      </c>
    </row>
    <row r="4" spans="1:12">
      <c r="A4" s="30"/>
      <c r="B4" s="32"/>
      <c r="C4" s="32"/>
      <c r="D4" s="32"/>
      <c r="E4" s="32"/>
      <c r="F4" s="32"/>
      <c r="G4" s="32"/>
      <c r="H4" s="32"/>
      <c r="I4" s="32"/>
      <c r="J4" s="32"/>
      <c r="K4" s="32"/>
      <c r="L4" s="28"/>
    </row>
    <row r="5" spans="1:12">
      <c r="A5" s="33" t="s">
        <v>13</v>
      </c>
      <c r="B5" s="3" t="s">
        <v>14</v>
      </c>
      <c r="C5" s="4">
        <v>46272</v>
      </c>
      <c r="D5" s="5">
        <v>2</v>
      </c>
      <c r="E5" s="34">
        <v>8</v>
      </c>
      <c r="F5" s="6">
        <f>IF(E5=0,0,D5/E5)</f>
        <v>0.25</v>
      </c>
      <c r="G5" s="35">
        <f>IF(E5=0,0,SUMPRODUCT(F5:F6,J5:J6)/(I5*2.52))</f>
        <v>1.4864969135802468</v>
      </c>
      <c r="H5" s="36">
        <f>G5*I5*E5</f>
        <v>428.11111111111109</v>
      </c>
      <c r="I5" s="36">
        <v>36</v>
      </c>
      <c r="J5" s="5">
        <v>0.8</v>
      </c>
      <c r="K5" s="6">
        <f>2.52/J5*I5</f>
        <v>113.39999999999999</v>
      </c>
      <c r="L5" s="7">
        <f>E5*I5</f>
        <v>288</v>
      </c>
    </row>
    <row r="6" spans="1:12">
      <c r="A6" s="33"/>
      <c r="B6" s="3" t="s">
        <v>15</v>
      </c>
      <c r="C6" s="4">
        <v>46279</v>
      </c>
      <c r="D6" s="5">
        <v>1146</v>
      </c>
      <c r="E6" s="34"/>
      <c r="F6" s="6">
        <f>IF(E5=0,0,D6/E5)</f>
        <v>143.25</v>
      </c>
      <c r="G6" s="35"/>
      <c r="H6" s="36"/>
      <c r="I6" s="36"/>
      <c r="J6" s="5">
        <v>0.94</v>
      </c>
      <c r="K6" s="6">
        <f>2.52/J6*I5</f>
        <v>96.510638297872347</v>
      </c>
      <c r="L6" s="7"/>
    </row>
    <row r="7" spans="1:12">
      <c r="A7" s="8" t="s">
        <v>16</v>
      </c>
      <c r="B7" s="3" t="s">
        <v>17</v>
      </c>
      <c r="C7" s="4">
        <v>46276</v>
      </c>
      <c r="D7" s="5">
        <v>893</v>
      </c>
      <c r="E7" s="9">
        <v>9</v>
      </c>
      <c r="F7" s="6">
        <f>IF(E7=0,0,D7/E7)</f>
        <v>99.222222222222229</v>
      </c>
      <c r="G7" s="10">
        <f>IF(E7=0,0,SUMPRODUCT(F7:F7,J7:J7)/(I7*2.52))</f>
        <v>1.5865364664384274</v>
      </c>
      <c r="H7" s="11">
        <f>G7*I7*E7</f>
        <v>485.48015873015879</v>
      </c>
      <c r="I7" s="11">
        <v>34</v>
      </c>
      <c r="J7" s="5">
        <v>1.37</v>
      </c>
      <c r="K7" s="6">
        <f>2.52/J7*I7</f>
        <v>62.540145985401459</v>
      </c>
      <c r="L7" s="7">
        <f>E7*I7</f>
        <v>306</v>
      </c>
    </row>
    <row r="8" spans="1:12">
      <c r="A8" s="8" t="s">
        <v>18</v>
      </c>
      <c r="B8" s="3" t="s">
        <v>19</v>
      </c>
      <c r="C8" s="4">
        <v>46281</v>
      </c>
      <c r="D8" s="5">
        <v>462</v>
      </c>
      <c r="E8" s="9">
        <v>8</v>
      </c>
      <c r="F8" s="6">
        <f>IF(E8=0,0,D8/E8)</f>
        <v>57.75</v>
      </c>
      <c r="G8" s="10">
        <f>IF(E8=0,0,SUMPRODUCT(F8:F8,J8:J8)/(I8*2.52))</f>
        <v>0.9027777777777779</v>
      </c>
      <c r="H8" s="11">
        <f>G8*I8*E8</f>
        <v>238.33333333333337</v>
      </c>
      <c r="I8" s="11">
        <v>33</v>
      </c>
      <c r="J8" s="5">
        <v>1.3</v>
      </c>
      <c r="K8" s="6">
        <f>2.52/J8*I8</f>
        <v>63.969230769230769</v>
      </c>
      <c r="L8" s="7">
        <f>E8*I8</f>
        <v>264</v>
      </c>
    </row>
    <row r="9" spans="1:12">
      <c r="A9" s="8" t="s">
        <v>20</v>
      </c>
      <c r="B9" s="3" t="s">
        <v>21</v>
      </c>
      <c r="C9" s="4">
        <v>46265</v>
      </c>
      <c r="D9" s="5">
        <v>1449</v>
      </c>
      <c r="E9" s="9">
        <v>9</v>
      </c>
      <c r="F9" s="6">
        <f>IF(E9=0,0,D9/E9)</f>
        <v>161</v>
      </c>
      <c r="G9" s="10">
        <f>IF(E9=0,0,SUMPRODUCT(F9:F9,J9:J9)/(I9*2.52))</f>
        <v>1.6348039215686272</v>
      </c>
      <c r="H9" s="11">
        <f>G9*I9*E9</f>
        <v>500.24999999999989</v>
      </c>
      <c r="I9" s="11">
        <v>34</v>
      </c>
      <c r="J9" s="5">
        <v>0.87</v>
      </c>
      <c r="K9" s="6">
        <f>2.52/J9*I9</f>
        <v>98.482758620689651</v>
      </c>
      <c r="L9" s="7">
        <f>E9*I9</f>
        <v>306</v>
      </c>
    </row>
    <row r="10" spans="1:12">
      <c r="A10" s="33" t="s">
        <v>22</v>
      </c>
      <c r="B10" s="3" t="s">
        <v>23</v>
      </c>
      <c r="C10" s="4"/>
      <c r="D10" s="5">
        <v>0</v>
      </c>
      <c r="E10" s="34">
        <v>8</v>
      </c>
      <c r="F10" s="6">
        <f>IF(E10=0,0,D10/E10)</f>
        <v>0</v>
      </c>
      <c r="G10" s="35">
        <f>IF(E10=0,0,SUMPRODUCT(F10:F14,J10:J14)/(I10*2.52))</f>
        <v>0.95144400352733705</v>
      </c>
      <c r="H10" s="36">
        <f>G10*I10*E10</f>
        <v>274.01587301587307</v>
      </c>
      <c r="I10" s="36">
        <v>36</v>
      </c>
      <c r="J10" s="5">
        <v>1.56</v>
      </c>
      <c r="K10" s="6">
        <f>2.52/J10*I10</f>
        <v>58.153846153846153</v>
      </c>
      <c r="L10" s="7">
        <f>E10*I10</f>
        <v>288</v>
      </c>
    </row>
    <row r="11" spans="1:12">
      <c r="A11" s="33"/>
      <c r="B11" s="3" t="s">
        <v>23</v>
      </c>
      <c r="C11" s="4"/>
      <c r="D11" s="5">
        <v>0</v>
      </c>
      <c r="E11" s="34"/>
      <c r="F11" s="6">
        <f>IF(E10=0,0,D11/E10)</f>
        <v>0</v>
      </c>
      <c r="G11" s="35"/>
      <c r="H11" s="36"/>
      <c r="I11" s="36"/>
      <c r="J11" s="5">
        <v>1.72</v>
      </c>
      <c r="K11" s="6">
        <f>2.52/J11*I10</f>
        <v>52.744186046511629</v>
      </c>
      <c r="L11" s="7"/>
    </row>
    <row r="12" spans="1:12">
      <c r="A12" s="33"/>
      <c r="B12" s="3" t="s">
        <v>24</v>
      </c>
      <c r="C12" s="4">
        <v>46213</v>
      </c>
      <c r="D12" s="5">
        <v>169</v>
      </c>
      <c r="E12" s="34"/>
      <c r="F12" s="6">
        <f>IF(E10=0,0,D12/E10)</f>
        <v>21.125</v>
      </c>
      <c r="G12" s="35"/>
      <c r="H12" s="36"/>
      <c r="I12" s="36"/>
      <c r="J12" s="5">
        <v>2.2200000000000002</v>
      </c>
      <c r="K12" s="6">
        <f>2.52/J12*I10</f>
        <v>40.864864864864863</v>
      </c>
      <c r="L12" s="7"/>
    </row>
    <row r="13" spans="1:12">
      <c r="A13" s="33"/>
      <c r="B13" s="3" t="s">
        <v>24</v>
      </c>
      <c r="C13" s="4">
        <v>46213</v>
      </c>
      <c r="D13" s="5">
        <v>125</v>
      </c>
      <c r="E13" s="34"/>
      <c r="F13" s="6">
        <f>IF(E10=0,0,D13/E10)</f>
        <v>15.625</v>
      </c>
      <c r="G13" s="35"/>
      <c r="H13" s="36"/>
      <c r="I13" s="36"/>
      <c r="J13" s="5">
        <v>2.2999999999999998</v>
      </c>
      <c r="K13" s="6">
        <f>2.52/J13*I10</f>
        <v>39.443478260869568</v>
      </c>
      <c r="L13" s="7"/>
    </row>
    <row r="14" spans="1:12">
      <c r="A14" s="33"/>
      <c r="B14" s="3" t="s">
        <v>25</v>
      </c>
      <c r="C14" s="4">
        <v>46261</v>
      </c>
      <c r="D14" s="5">
        <v>32</v>
      </c>
      <c r="E14" s="34"/>
      <c r="F14" s="6">
        <f>IF(E10=0,0,D14/E10)</f>
        <v>4</v>
      </c>
      <c r="G14" s="35"/>
      <c r="H14" s="36"/>
      <c r="I14" s="36"/>
      <c r="J14" s="5">
        <v>0.87</v>
      </c>
      <c r="K14" s="6">
        <f>2.52/J14*I10</f>
        <v>104.27586206896552</v>
      </c>
      <c r="L14" s="7"/>
    </row>
    <row r="15" spans="1:12">
      <c r="A15" s="8" t="s">
        <v>26</v>
      </c>
      <c r="B15" s="3" t="s">
        <v>27</v>
      </c>
      <c r="C15" s="4">
        <v>46279</v>
      </c>
      <c r="D15" s="5">
        <v>618</v>
      </c>
      <c r="E15" s="9">
        <v>9</v>
      </c>
      <c r="F15" s="6">
        <f>IF(E15=0,0,D15/E15)</f>
        <v>68.666666666666671</v>
      </c>
      <c r="G15" s="10">
        <f>IF(E15=0,0,SUMPRODUCT(F15:F15,J15:J15)/(I15*2.52))</f>
        <v>0.79475308641975317</v>
      </c>
      <c r="H15" s="11">
        <f>G15*I15*E15</f>
        <v>257.5</v>
      </c>
      <c r="I15" s="11">
        <v>36</v>
      </c>
      <c r="J15" s="5">
        <v>1.05</v>
      </c>
      <c r="K15" s="6">
        <f>2.52/J15*I15</f>
        <v>86.399999999999991</v>
      </c>
      <c r="L15" s="7">
        <f>E15*I15</f>
        <v>324</v>
      </c>
    </row>
    <row r="16" spans="1:12">
      <c r="A16" s="33" t="s">
        <v>28</v>
      </c>
      <c r="B16" s="3" t="s">
        <v>29</v>
      </c>
      <c r="C16" s="4">
        <v>46219</v>
      </c>
      <c r="D16" s="5">
        <v>0</v>
      </c>
      <c r="E16" s="34">
        <v>8</v>
      </c>
      <c r="F16" s="6">
        <f>IF(E16=0,0,D16/E16)</f>
        <v>0</v>
      </c>
      <c r="G16" s="35">
        <f>IF(E16=0,0,SUMPRODUCT(F16:F17,J16:J17)/(I16*2.52))</f>
        <v>1.3030888030888033</v>
      </c>
      <c r="H16" s="36">
        <f>G16*I16*E16</f>
        <v>385.71428571428578</v>
      </c>
      <c r="I16" s="36">
        <v>37</v>
      </c>
      <c r="J16" s="5">
        <v>1.84</v>
      </c>
      <c r="K16" s="6">
        <f>2.52/J16*I16</f>
        <v>50.673913043478258</v>
      </c>
      <c r="L16" s="7">
        <f>E16*I16</f>
        <v>296</v>
      </c>
    </row>
    <row r="17" spans="1:12">
      <c r="A17" s="33"/>
      <c r="B17" s="3" t="s">
        <v>30</v>
      </c>
      <c r="C17" s="4">
        <v>46272</v>
      </c>
      <c r="D17" s="5">
        <v>1200</v>
      </c>
      <c r="E17" s="34"/>
      <c r="F17" s="6">
        <f>IF(E16=0,0,D17/E16)</f>
        <v>150</v>
      </c>
      <c r="G17" s="35"/>
      <c r="H17" s="36"/>
      <c r="I17" s="36"/>
      <c r="J17" s="5">
        <v>0.81</v>
      </c>
      <c r="K17" s="6">
        <f>2.52/J17*I16</f>
        <v>115.1111111111111</v>
      </c>
      <c r="L17" s="7"/>
    </row>
    <row r="18" spans="1:12">
      <c r="A18" s="33" t="s">
        <v>31</v>
      </c>
      <c r="B18" s="3" t="s">
        <v>32</v>
      </c>
      <c r="C18" s="4">
        <v>46219</v>
      </c>
      <c r="D18" s="5">
        <v>36</v>
      </c>
      <c r="E18" s="34">
        <v>8</v>
      </c>
      <c r="F18" s="6">
        <f>IF(E18=0,0,D18/E18)</f>
        <v>4.5</v>
      </c>
      <c r="G18" s="35">
        <f>IF(E18=0,0,SUMPRODUCT(F18:F20,J18:J20)/(I18*2.52))</f>
        <v>0.58382936507936511</v>
      </c>
      <c r="H18" s="36">
        <f>G18*I18*E18</f>
        <v>168.14285714285717</v>
      </c>
      <c r="I18" s="36">
        <v>36</v>
      </c>
      <c r="J18" s="5">
        <v>0.85</v>
      </c>
      <c r="K18" s="6">
        <f>2.52/J18*I18</f>
        <v>106.72941176470589</v>
      </c>
      <c r="L18" s="7">
        <f>E18*I18</f>
        <v>288</v>
      </c>
    </row>
    <row r="19" spans="1:12">
      <c r="A19" s="33"/>
      <c r="B19" s="3" t="s">
        <v>23</v>
      </c>
      <c r="C19" s="4">
        <v>46280</v>
      </c>
      <c r="D19" s="5">
        <v>252</v>
      </c>
      <c r="E19" s="34"/>
      <c r="F19" s="6">
        <f>IF(E18=0,0,D19/E18)</f>
        <v>31.5</v>
      </c>
      <c r="G19" s="35"/>
      <c r="H19" s="36"/>
      <c r="I19" s="36"/>
      <c r="J19" s="5">
        <v>1.56</v>
      </c>
      <c r="K19" s="6">
        <f>2.52/J19*I18</f>
        <v>58.153846153846153</v>
      </c>
      <c r="L19" s="7"/>
    </row>
    <row r="20" spans="1:12">
      <c r="A20" s="33"/>
      <c r="B20" s="3" t="s">
        <v>23</v>
      </c>
      <c r="C20" s="4">
        <v>46280</v>
      </c>
      <c r="D20" s="5">
        <v>0</v>
      </c>
      <c r="E20" s="34"/>
      <c r="F20" s="6">
        <f>IF(E18=0,0,D20/E18)</f>
        <v>0</v>
      </c>
      <c r="G20" s="35"/>
      <c r="H20" s="36"/>
      <c r="I20" s="36"/>
      <c r="J20" s="5">
        <v>1.72</v>
      </c>
      <c r="K20" s="6">
        <f>2.52/J20*I18</f>
        <v>52.744186046511629</v>
      </c>
      <c r="L20" s="7"/>
    </row>
    <row r="21" spans="1:12">
      <c r="A21" s="8" t="s">
        <v>33</v>
      </c>
      <c r="B21" s="3" t="s">
        <v>34</v>
      </c>
      <c r="C21" s="4">
        <v>46240</v>
      </c>
      <c r="D21" s="5">
        <v>664</v>
      </c>
      <c r="E21" s="9">
        <v>9</v>
      </c>
      <c r="F21" s="6">
        <f>IF(E21=0,0,D21/E21)</f>
        <v>73.777777777777771</v>
      </c>
      <c r="G21" s="10">
        <f>IF(E21=0,0,SUMPRODUCT(F21:F21,J21:J21)/(I21*2.52))</f>
        <v>1.4150499706055262</v>
      </c>
      <c r="H21" s="11">
        <f>G21*I21*E21</f>
        <v>458.47619047619048</v>
      </c>
      <c r="I21" s="11">
        <v>36</v>
      </c>
      <c r="J21" s="5">
        <v>1.74</v>
      </c>
      <c r="K21" s="6">
        <f>2.52/J21*I21</f>
        <v>52.137931034482762</v>
      </c>
      <c r="L21" s="7">
        <f>E21*I21</f>
        <v>324</v>
      </c>
    </row>
    <row r="22" spans="1:12">
      <c r="A22" s="8" t="s">
        <v>35</v>
      </c>
      <c r="B22" s="3" t="s">
        <v>36</v>
      </c>
      <c r="C22" s="4">
        <v>46267</v>
      </c>
      <c r="D22" s="5">
        <v>1517</v>
      </c>
      <c r="E22" s="9">
        <v>9</v>
      </c>
      <c r="F22" s="6">
        <f>IF(E22=0,0,D22/E22)</f>
        <v>168.55555555555554</v>
      </c>
      <c r="G22" s="10">
        <f>IF(E22=0,0,SUMPRODUCT(F22:F22,J22:J22)/(I22*2.52))</f>
        <v>1.3553443794671862</v>
      </c>
      <c r="H22" s="11">
        <f>G22*I22*E22</f>
        <v>463.52777777777766</v>
      </c>
      <c r="I22" s="11">
        <v>38</v>
      </c>
      <c r="J22" s="5">
        <v>0.77</v>
      </c>
      <c r="K22" s="6">
        <f>2.52/J22*I22</f>
        <v>124.36363636363636</v>
      </c>
      <c r="L22" s="7">
        <f>E22*I22</f>
        <v>342</v>
      </c>
    </row>
    <row r="23" spans="1:12">
      <c r="A23" s="33" t="s">
        <v>37</v>
      </c>
      <c r="B23" s="3" t="s">
        <v>23</v>
      </c>
      <c r="C23" s="4">
        <v>46274</v>
      </c>
      <c r="D23" s="5">
        <v>373</v>
      </c>
      <c r="E23" s="34">
        <v>9</v>
      </c>
      <c r="F23" s="6">
        <f>IF(E23=0,0,D23/E23)</f>
        <v>41.444444444444443</v>
      </c>
      <c r="G23" s="35">
        <f>IF(E23=0,0,SUMPRODUCT(F23:F24,J23:J24)/(I23*2.52))</f>
        <v>1.05005005005005</v>
      </c>
      <c r="H23" s="36">
        <f>G23*I23*E23</f>
        <v>349.66666666666663</v>
      </c>
      <c r="I23" s="36">
        <v>37</v>
      </c>
      <c r="J23" s="5">
        <v>1.56</v>
      </c>
      <c r="K23" s="6">
        <f>2.52/J23*I23</f>
        <v>59.769230769230774</v>
      </c>
      <c r="L23" s="7">
        <f>E23*I23</f>
        <v>333</v>
      </c>
    </row>
    <row r="24" spans="1:12">
      <c r="A24" s="33"/>
      <c r="B24" s="3" t="s">
        <v>23</v>
      </c>
      <c r="C24" s="4">
        <v>46274</v>
      </c>
      <c r="D24" s="5">
        <v>174</v>
      </c>
      <c r="E24" s="34"/>
      <c r="F24" s="6">
        <f>IF(E23=0,0,D24/E23)</f>
        <v>19.333333333333332</v>
      </c>
      <c r="G24" s="35"/>
      <c r="H24" s="36"/>
      <c r="I24" s="36"/>
      <c r="J24" s="5">
        <v>1.72</v>
      </c>
      <c r="K24" s="6">
        <f>2.52/J24*I23</f>
        <v>54.20930232558139</v>
      </c>
      <c r="L24" s="7"/>
    </row>
    <row r="25" spans="1:12">
      <c r="A25" s="33" t="s">
        <v>38</v>
      </c>
      <c r="B25" s="3" t="s">
        <v>39</v>
      </c>
      <c r="C25" s="4">
        <v>46235</v>
      </c>
      <c r="D25" s="5">
        <v>153</v>
      </c>
      <c r="E25" s="34">
        <v>8</v>
      </c>
      <c r="F25" s="6">
        <f>IF(E25=0,0,D25/E25)</f>
        <v>19.125</v>
      </c>
      <c r="G25" s="35">
        <f>IF(E25=0,0,SUMPRODUCT(F25:F28,J25:J28)/(I25*2.52))</f>
        <v>0.87197018447018448</v>
      </c>
      <c r="H25" s="36">
        <f>G25*I25*E25</f>
        <v>258.10317460317458</v>
      </c>
      <c r="I25" s="36">
        <v>37</v>
      </c>
      <c r="J25" s="5">
        <v>1.1599999999999999</v>
      </c>
      <c r="K25" s="6">
        <f>2.52/J25*I25</f>
        <v>80.379310344827587</v>
      </c>
      <c r="L25" s="7">
        <f>E25*I25</f>
        <v>296</v>
      </c>
    </row>
    <row r="26" spans="1:12">
      <c r="A26" s="33"/>
      <c r="B26" s="3" t="s">
        <v>40</v>
      </c>
      <c r="C26" s="4">
        <v>46268</v>
      </c>
      <c r="D26" s="5">
        <v>7</v>
      </c>
      <c r="E26" s="34"/>
      <c r="F26" s="6">
        <f>IF(E25=0,0,D26/E25)</f>
        <v>0.875</v>
      </c>
      <c r="G26" s="35"/>
      <c r="H26" s="36"/>
      <c r="I26" s="36"/>
      <c r="J26" s="5">
        <v>1.1599999999999999</v>
      </c>
      <c r="K26" s="6">
        <f>2.52/J26*I25</f>
        <v>80.379310344827587</v>
      </c>
      <c r="L26" s="7"/>
    </row>
    <row r="27" spans="1:12">
      <c r="A27" s="33"/>
      <c r="B27" s="3" t="s">
        <v>41</v>
      </c>
      <c r="C27" s="4">
        <v>46273</v>
      </c>
      <c r="D27" s="5">
        <v>381</v>
      </c>
      <c r="E27" s="34"/>
      <c r="F27" s="6">
        <f>IF(E25=0,0,D27/E25)</f>
        <v>47.625</v>
      </c>
      <c r="G27" s="35"/>
      <c r="H27" s="36"/>
      <c r="I27" s="36"/>
      <c r="J27" s="5">
        <v>1.22</v>
      </c>
      <c r="K27" s="6">
        <f>2.52/J27*I25</f>
        <v>76.426229508196727</v>
      </c>
      <c r="L27" s="7"/>
    </row>
    <row r="28" spans="1:12">
      <c r="A28" s="33"/>
      <c r="B28" s="3" t="s">
        <v>17</v>
      </c>
      <c r="C28" s="4">
        <v>46281</v>
      </c>
      <c r="D28" s="5">
        <v>0</v>
      </c>
      <c r="E28" s="34"/>
      <c r="F28" s="6">
        <f>IF(E25=0,0,D28/E25)</f>
        <v>0</v>
      </c>
      <c r="G28" s="35"/>
      <c r="H28" s="36"/>
      <c r="I28" s="36"/>
      <c r="J28" s="5">
        <v>1.37</v>
      </c>
      <c r="K28" s="6">
        <f>2.52/J28*I25</f>
        <v>68.058394160583944</v>
      </c>
      <c r="L28" s="7"/>
    </row>
    <row r="29" spans="1:12">
      <c r="A29" s="8" t="s">
        <v>42</v>
      </c>
      <c r="B29" s="3" t="s">
        <v>21</v>
      </c>
      <c r="C29" s="4">
        <v>46255</v>
      </c>
      <c r="D29" s="5">
        <v>1700</v>
      </c>
      <c r="E29" s="9">
        <v>9</v>
      </c>
      <c r="F29" s="6">
        <f>IF(E29=0,0,D29/E29)</f>
        <v>188.88888888888889</v>
      </c>
      <c r="G29" s="10">
        <f>IF(E29=0,0,SUMPRODUCT(F29:F29,J29:J29)/(I29*2.52))</f>
        <v>1.7624767624767628</v>
      </c>
      <c r="H29" s="11">
        <f>G29*I29*E29</f>
        <v>586.90476190476193</v>
      </c>
      <c r="I29" s="11">
        <v>37</v>
      </c>
      <c r="J29" s="5">
        <v>0.87</v>
      </c>
      <c r="K29" s="6">
        <f>2.52/J29*I29</f>
        <v>107.17241379310344</v>
      </c>
      <c r="L29" s="7">
        <f>E29*I29</f>
        <v>333</v>
      </c>
    </row>
    <row r="30" spans="1:12">
      <c r="A30" s="8" t="s">
        <v>43</v>
      </c>
      <c r="B30" s="3" t="s">
        <v>19</v>
      </c>
      <c r="C30" s="4">
        <v>46209</v>
      </c>
      <c r="D30" s="5">
        <v>1168</v>
      </c>
      <c r="E30" s="9">
        <v>9</v>
      </c>
      <c r="F30" s="6">
        <f>IF(E30=0,0,D30/E30)</f>
        <v>129.77777777777777</v>
      </c>
      <c r="G30" s="10">
        <f>IF(E30=0,0,SUMPRODUCT(F30:F30,J30:J30)/(I30*2.52))</f>
        <v>1.8094284760951429</v>
      </c>
      <c r="H30" s="11">
        <f>G30*I30*E30</f>
        <v>602.53968253968264</v>
      </c>
      <c r="I30" s="11">
        <v>37</v>
      </c>
      <c r="J30" s="5">
        <v>1.3</v>
      </c>
      <c r="K30" s="6">
        <f>2.52/J30*I30</f>
        <v>71.723076923076917</v>
      </c>
      <c r="L30" s="7">
        <f>E30*I30</f>
        <v>333</v>
      </c>
    </row>
    <row r="31" spans="1:12">
      <c r="A31" s="33" t="s">
        <v>44</v>
      </c>
      <c r="B31" s="3" t="s">
        <v>23</v>
      </c>
      <c r="C31" s="4">
        <v>46275</v>
      </c>
      <c r="D31" s="5">
        <v>377</v>
      </c>
      <c r="E31" s="34">
        <v>8</v>
      </c>
      <c r="F31" s="6">
        <f>IF(E31=0,0,D31/E31)</f>
        <v>47.125</v>
      </c>
      <c r="G31" s="35">
        <f>IF(E31=0,0,SUMPRODUCT(F31:F32,J31:J32)/(I31*2.52))</f>
        <v>0.92125850340136051</v>
      </c>
      <c r="H31" s="36">
        <f>G31*I31*E31</f>
        <v>257.95238095238096</v>
      </c>
      <c r="I31" s="36">
        <v>35</v>
      </c>
      <c r="J31" s="5">
        <v>1.56</v>
      </c>
      <c r="K31" s="6">
        <f>2.52/J31*I31</f>
        <v>56.53846153846154</v>
      </c>
      <c r="L31" s="7">
        <f>E31*I31</f>
        <v>280</v>
      </c>
    </row>
    <row r="32" spans="1:12">
      <c r="A32" s="33"/>
      <c r="B32" s="3" t="s">
        <v>23</v>
      </c>
      <c r="C32" s="4">
        <v>46275</v>
      </c>
      <c r="D32" s="5">
        <v>36</v>
      </c>
      <c r="E32" s="34"/>
      <c r="F32" s="6">
        <f>IF(E31=0,0,D32/E31)</f>
        <v>4.5</v>
      </c>
      <c r="G32" s="35"/>
      <c r="H32" s="36"/>
      <c r="I32" s="36"/>
      <c r="J32" s="5">
        <v>1.72</v>
      </c>
      <c r="K32" s="6">
        <f>2.52/J32*I31</f>
        <v>51.279069767441861</v>
      </c>
      <c r="L32" s="7"/>
    </row>
    <row r="33" spans="1:12">
      <c r="A33" s="8" t="s">
        <v>45</v>
      </c>
      <c r="B33" s="3" t="s">
        <v>46</v>
      </c>
      <c r="C33" s="4">
        <v>46253</v>
      </c>
      <c r="D33" s="5">
        <v>1797</v>
      </c>
      <c r="E33" s="9">
        <v>9</v>
      </c>
      <c r="F33" s="6">
        <f>IF(E33=0,0,D33/E33)</f>
        <v>199.66666666666666</v>
      </c>
      <c r="G33" s="10">
        <f>IF(E33=0,0,SUMPRODUCT(F33:F33,J33:J33)/(I33*2.52))</f>
        <v>1.7387198706643152</v>
      </c>
      <c r="H33" s="11">
        <f>G33*I33*E33</f>
        <v>563.34523809523819</v>
      </c>
      <c r="I33" s="11">
        <v>36</v>
      </c>
      <c r="J33" s="5">
        <v>0.79</v>
      </c>
      <c r="K33" s="6">
        <f>2.52/J33*I33</f>
        <v>114.83544303797467</v>
      </c>
      <c r="L33" s="7">
        <f>E33*I33</f>
        <v>324</v>
      </c>
    </row>
    <row r="34" spans="1:12">
      <c r="A34" s="8" t="s">
        <v>47</v>
      </c>
      <c r="B34" s="3" t="s">
        <v>17</v>
      </c>
      <c r="C34" s="4">
        <v>46280</v>
      </c>
      <c r="D34" s="5">
        <v>645</v>
      </c>
      <c r="E34" s="9">
        <v>8</v>
      </c>
      <c r="F34" s="6">
        <f>IF(E34=0,0,D34/E34)</f>
        <v>80.625</v>
      </c>
      <c r="G34" s="10">
        <f>IF(E34=0,0,SUMPRODUCT(F34:F34,J34:J34)/(I34*2.52))</f>
        <v>1.2523384353741498</v>
      </c>
      <c r="H34" s="11">
        <f>G34*I34*E34</f>
        <v>350.65476190476193</v>
      </c>
      <c r="I34" s="11">
        <v>35</v>
      </c>
      <c r="J34" s="5">
        <v>1.37</v>
      </c>
      <c r="K34" s="6">
        <f>2.52/J34*I34</f>
        <v>64.379562043795616</v>
      </c>
      <c r="L34" s="7">
        <f>E34*I34</f>
        <v>280</v>
      </c>
    </row>
    <row r="35" spans="1:12">
      <c r="A35" s="8" t="s">
        <v>48</v>
      </c>
      <c r="B35" s="3" t="s">
        <v>30</v>
      </c>
      <c r="C35" s="4">
        <v>46268</v>
      </c>
      <c r="D35" s="5">
        <v>1234</v>
      </c>
      <c r="E35" s="9">
        <v>8</v>
      </c>
      <c r="F35" s="6">
        <f>IF(E35=0,0,D35/E35)</f>
        <v>154.25</v>
      </c>
      <c r="G35" s="10">
        <f>IF(E35=0,0,SUMPRODUCT(F35:F35,J35:J35)/(I35*2.52))</f>
        <v>1.4165816326530614</v>
      </c>
      <c r="H35" s="11">
        <f>G35*I35*E35</f>
        <v>396.64285714285717</v>
      </c>
      <c r="I35" s="11">
        <v>35</v>
      </c>
      <c r="J35" s="5">
        <v>0.81</v>
      </c>
      <c r="K35" s="6">
        <f>2.52/J35*I35</f>
        <v>108.88888888888887</v>
      </c>
      <c r="L35" s="7">
        <f>E35*I35</f>
        <v>280</v>
      </c>
    </row>
    <row r="36" spans="1:12">
      <c r="A36" s="8" t="s">
        <v>49</v>
      </c>
      <c r="B36" s="3" t="s">
        <v>14</v>
      </c>
      <c r="C36" s="4">
        <v>46274</v>
      </c>
      <c r="D36" s="5">
        <v>1382</v>
      </c>
      <c r="E36" s="9">
        <v>9</v>
      </c>
      <c r="F36" s="6">
        <f>IF(E36=0,0,D36/E36)</f>
        <v>153.55555555555554</v>
      </c>
      <c r="G36" s="10">
        <f>IF(E36=0,0,SUMPRODUCT(F36:F36,J36:J36)/(I36*2.52))</f>
        <v>1.2828367214332126</v>
      </c>
      <c r="H36" s="11">
        <f>G36*I36*E36</f>
        <v>438.73015873015868</v>
      </c>
      <c r="I36" s="11">
        <v>38</v>
      </c>
      <c r="J36" s="5">
        <v>0.8</v>
      </c>
      <c r="K36" s="6">
        <f>2.52/J36*I36</f>
        <v>119.7</v>
      </c>
      <c r="L36" s="7">
        <f>E36*I36</f>
        <v>342</v>
      </c>
    </row>
    <row r="37" spans="1:12">
      <c r="A37" s="8" t="s">
        <v>50</v>
      </c>
      <c r="B37" s="3" t="s">
        <v>51</v>
      </c>
      <c r="C37" s="4">
        <v>46272</v>
      </c>
      <c r="D37" s="5">
        <v>722</v>
      </c>
      <c r="E37" s="9">
        <v>9</v>
      </c>
      <c r="F37" s="6">
        <f>IF(E37=0,0,D37/E37)</f>
        <v>80.222222222222229</v>
      </c>
      <c r="G37" s="10">
        <f>IF(E37=0,0,SUMPRODUCT(F37:F37,J37:J37)/(I37*2.52))</f>
        <v>1.1917424139646362</v>
      </c>
      <c r="H37" s="11">
        <f>G37*I37*E37</f>
        <v>418.30158730158729</v>
      </c>
      <c r="I37" s="11">
        <v>39</v>
      </c>
      <c r="J37" s="5">
        <v>1.46</v>
      </c>
      <c r="K37" s="6">
        <f>2.52/J37*I37</f>
        <v>67.31506849315069</v>
      </c>
      <c r="L37" s="7">
        <f>E37*I37</f>
        <v>351</v>
      </c>
    </row>
    <row r="38" spans="1:12">
      <c r="A38" s="37" t="s">
        <v>52</v>
      </c>
      <c r="B38" s="38"/>
      <c r="C38" s="39"/>
      <c r="D38" s="12">
        <f>SUM(D5:D37)</f>
        <v>18714</v>
      </c>
      <c r="E38" s="13">
        <f>SUM(E5:E37)</f>
        <v>171</v>
      </c>
      <c r="F38" s="14"/>
      <c r="G38" s="15">
        <f>SUM(H5:H37)/L38</f>
        <v>1.2758810063358461</v>
      </c>
      <c r="H38" s="12"/>
      <c r="I38" s="12">
        <f>SUM(I5:I37)</f>
        <v>722</v>
      </c>
      <c r="J38" s="12"/>
      <c r="K38" s="14"/>
      <c r="L38" s="16">
        <f>SUM(L5:L37)</f>
        <v>6178</v>
      </c>
    </row>
    <row r="39" spans="1:12">
      <c r="A39" s="17"/>
      <c r="B39" s="5"/>
      <c r="C39" s="4"/>
      <c r="D39" s="5"/>
      <c r="E39" s="18"/>
      <c r="F39" s="6"/>
      <c r="G39" s="19"/>
      <c r="H39" s="5"/>
      <c r="I39" s="5"/>
      <c r="J39" s="5"/>
      <c r="K39" s="6"/>
      <c r="L39" s="7"/>
    </row>
    <row r="40" spans="1:12" ht="13.5" thickBot="1">
      <c r="A40" s="40" t="s">
        <v>53</v>
      </c>
      <c r="B40" s="41"/>
      <c r="C40" s="42"/>
      <c r="D40" s="20">
        <f>SUMIF(A5:A39, "&lt;&gt;Summary", D5:D39)</f>
        <v>18714</v>
      </c>
      <c r="E40" s="21">
        <f>SUMIF(A5:A39, "&lt;&gt;Summary", E5:E39)</f>
        <v>171</v>
      </c>
      <c r="F40" s="22"/>
      <c r="G40" s="23">
        <f>SUMIF(A5:A39, "&lt;&gt;Summary", H5:H39)/L40</f>
        <v>1.2758810063358461</v>
      </c>
      <c r="H40" s="20"/>
      <c r="I40" s="20">
        <f>SUMIF(A5:A39, "&lt;&gt;Summary", I5:I39)</f>
        <v>722</v>
      </c>
      <c r="J40" s="20"/>
      <c r="K40" s="22"/>
      <c r="L40" s="24">
        <f>SUMIF(A5:A39, "&lt;&gt;Summary", L5:L39)</f>
        <v>6178</v>
      </c>
    </row>
    <row r="41" spans="1:12" ht="13.5" thickTop="1"/>
    <row r="42" spans="1:12">
      <c r="C42" s="25" t="s">
        <v>54</v>
      </c>
      <c r="D42" s="26">
        <f>SUM(H5:H14)/SUM(L5:L14)</f>
        <v>1.3265774629410994</v>
      </c>
    </row>
    <row r="43" spans="1:12">
      <c r="C43" s="25" t="s">
        <v>55</v>
      </c>
      <c r="D43" s="26">
        <f>SUM(H15:H22)/SUM(L15:L22)</f>
        <v>1.101245940985458</v>
      </c>
    </row>
    <row r="44" spans="1:12">
      <c r="C44" s="25" t="s">
        <v>56</v>
      </c>
      <c r="D44" s="26">
        <f>SUM(H23:H32)/SUM(L23:L32)</f>
        <v>1.304867724867725</v>
      </c>
    </row>
    <row r="45" spans="1:12">
      <c r="C45" s="25" t="s">
        <v>57</v>
      </c>
      <c r="D45" s="26">
        <f>SUM(H33:H37)/SUM(L33:L37)</f>
        <v>1.3745558675805982</v>
      </c>
    </row>
  </sheetData>
  <mergeCells count="49">
    <mergeCell ref="A40:C40"/>
    <mergeCell ref="A31:A32"/>
    <mergeCell ref="E31:E32"/>
    <mergeCell ref="G31:G32"/>
    <mergeCell ref="H31:H32"/>
    <mergeCell ref="I31:I32"/>
    <mergeCell ref="A38:C38"/>
    <mergeCell ref="A23:A24"/>
    <mergeCell ref="E23:E24"/>
    <mergeCell ref="G23:G24"/>
    <mergeCell ref="H23:H24"/>
    <mergeCell ref="I23:I24"/>
    <mergeCell ref="A25:A28"/>
    <mergeCell ref="E25:E28"/>
    <mergeCell ref="G25:G28"/>
    <mergeCell ref="H25:H28"/>
    <mergeCell ref="I25:I28"/>
    <mergeCell ref="A16:A17"/>
    <mergeCell ref="E16:E17"/>
    <mergeCell ref="G16:G17"/>
    <mergeCell ref="H16:H17"/>
    <mergeCell ref="I16:I17"/>
    <mergeCell ref="A18:A20"/>
    <mergeCell ref="E18:E20"/>
    <mergeCell ref="G18:G20"/>
    <mergeCell ref="H18:H20"/>
    <mergeCell ref="I18:I20"/>
    <mergeCell ref="J3:J4"/>
    <mergeCell ref="K3:K4"/>
    <mergeCell ref="A10:A14"/>
    <mergeCell ref="E10:E14"/>
    <mergeCell ref="G10:G14"/>
    <mergeCell ref="H10:H14"/>
    <mergeCell ref="I10:I14"/>
    <mergeCell ref="A5:A6"/>
    <mergeCell ref="E5:E6"/>
    <mergeCell ref="G5:G6"/>
    <mergeCell ref="H5:H6"/>
    <mergeCell ref="I5:I6"/>
    <mergeCell ref="L3:L4"/>
    <mergeCell ref="A3:A4"/>
    <mergeCell ref="B3:B4"/>
    <mergeCell ref="C3:C4"/>
    <mergeCell ref="D3:D4"/>
    <mergeCell ref="E3:E4"/>
    <mergeCell ref="F3:F4"/>
    <mergeCell ref="G3:G4"/>
    <mergeCell ref="H3:H4"/>
    <mergeCell ref="I3:I4"/>
  </mergeCells>
  <printOptions horizontalCentered="1"/>
  <pageMargins left="0.2" right="0.2" top="1" bottom="0.2" header="0.2" footer="0.2"/>
  <pageSetup paperSize="9" scale="90" fitToHeight="999" orientation="landscape" verticalDpi="0" r:id="rId1"/>
  <headerFooter>
    <oddHeader>&amp;C&amp;16PT GLORY DEMAK INDONESIA&amp;20
TARGET PER HARI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TargetPerHari</vt:lpstr>
      <vt:lpstr>Sheet2</vt:lpstr>
      <vt:lpstr>Sheet3</vt:lpstr>
      <vt:lpstr>TargetPerHari!Print_Titles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GLD5 ADMBarcode ( Indonesia, GLD5 )</dc:creator>
  <cp:lastModifiedBy>GLD5 ADMBarcode ( Indonesia, GLD5 )</cp:lastModifiedBy>
  <cp:lastPrinted>2026-09-18T00:59:11Z</cp:lastPrinted>
  <dcterms:created xsi:type="dcterms:W3CDTF">2026-09-18T00:40:58Z</dcterms:created>
  <dcterms:modified xsi:type="dcterms:W3CDTF">2026-09-18T01:31:58Z</dcterms:modified>
</cp:coreProperties>
</file>