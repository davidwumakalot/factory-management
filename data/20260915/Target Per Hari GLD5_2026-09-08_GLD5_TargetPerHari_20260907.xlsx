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0"/>
  <c r="K31"/>
  <c r="F31"/>
  <c r="K30"/>
  <c r="F30"/>
  <c r="L29"/>
  <c r="K29"/>
  <c r="F29"/>
  <c r="G29" s="1"/>
  <c r="H29" s="1"/>
  <c r="L28"/>
  <c r="K28"/>
  <c r="F28"/>
  <c r="G28" s="1"/>
  <c r="H28" s="1"/>
  <c r="L27"/>
  <c r="G27"/>
  <c r="H27" s="1"/>
  <c r="K27"/>
  <c r="F27"/>
  <c r="L25"/>
  <c r="K26"/>
  <c r="F26"/>
  <c r="G25" s="1"/>
  <c r="H25" s="1"/>
  <c r="K25"/>
  <c r="F25"/>
  <c r="L24"/>
  <c r="K24"/>
  <c r="F24"/>
  <c r="G24" s="1"/>
  <c r="H24" s="1"/>
  <c r="L23"/>
  <c r="K23"/>
  <c r="F23"/>
  <c r="G23" s="1"/>
  <c r="H23" s="1"/>
  <c r="L22"/>
  <c r="K22"/>
  <c r="F22"/>
  <c r="G22" s="1"/>
  <c r="H22" s="1"/>
  <c r="L20"/>
  <c r="K21"/>
  <c r="F21"/>
  <c r="K20"/>
  <c r="F20"/>
  <c r="L19"/>
  <c r="K19"/>
  <c r="F19"/>
  <c r="G19" s="1"/>
  <c r="H19" s="1"/>
  <c r="L18"/>
  <c r="G18"/>
  <c r="H18" s="1"/>
  <c r="K18"/>
  <c r="F18"/>
  <c r="L17"/>
  <c r="H17"/>
  <c r="G17"/>
  <c r="K17"/>
  <c r="F17"/>
  <c r="L16"/>
  <c r="K16"/>
  <c r="F16"/>
  <c r="G16" s="1"/>
  <c r="H16" s="1"/>
  <c r="L14"/>
  <c r="K15"/>
  <c r="F15"/>
  <c r="K14"/>
  <c r="F14"/>
  <c r="L12"/>
  <c r="K13"/>
  <c r="F13"/>
  <c r="K12"/>
  <c r="F12"/>
  <c r="G12" s="1"/>
  <c r="H12" s="1"/>
  <c r="L11"/>
  <c r="K11"/>
  <c r="F11"/>
  <c r="G11" s="1"/>
  <c r="H11" s="1"/>
  <c r="L10"/>
  <c r="K10"/>
  <c r="F10"/>
  <c r="G10" s="1"/>
  <c r="H10" s="1"/>
  <c r="L9"/>
  <c r="K9"/>
  <c r="F9"/>
  <c r="G9" s="1"/>
  <c r="H9" s="1"/>
  <c r="L8"/>
  <c r="G8"/>
  <c r="H8" s="1"/>
  <c r="K8"/>
  <c r="F8"/>
  <c r="L5"/>
  <c r="L34" s="1"/>
  <c r="K7"/>
  <c r="F7"/>
  <c r="K6"/>
  <c r="F6"/>
  <c r="G5" s="1"/>
  <c r="H5" s="1"/>
  <c r="K5"/>
  <c r="F5"/>
  <c r="G30" l="1"/>
  <c r="H30" s="1"/>
  <c r="G14"/>
  <c r="H14" s="1"/>
  <c r="G20"/>
  <c r="H20" s="1"/>
  <c r="G34"/>
  <c r="D39"/>
  <c r="D37"/>
  <c r="D36"/>
  <c r="D38"/>
  <c r="L32"/>
  <c r="G32" s="1"/>
</calcChain>
</file>

<file path=xl/sharedStrings.xml><?xml version="1.0" encoding="utf-8"?>
<sst xmlns="http://schemas.openxmlformats.org/spreadsheetml/2006/main" count="66" uniqueCount="56">
  <si>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</si>
  <si>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</si>
  <si>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</si>
  <si>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</si>
  <si>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</si>
  <si>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</si>
  <si>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</si>
  <si>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</si>
  <si>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</si>
  <si>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</si>
  <si>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</si>
  <si>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</si>
  <si>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</si>
  <si>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</si>
  <si>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</si>
  <si>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</si>
  <si>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DAB14127_Q127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</si>
  <si>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</si>
  <si>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</si>
  <si>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</si>
  <si>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</si>
  <si>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</si>
  <si>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</si>
  <si>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</si>
  <si>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</si>
  <si>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</si>
  <si>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</si>
  <si>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</si>
  <si>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</si>
  <si>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</si>
  <si>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</si>
  <si>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</si>
  <si>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</si>
  <si>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</si>
  <si>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</si>
  <si>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</si>
  <si>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LK864_FA26</t>
  </si>
  <si>
    <t>K864_FA26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</si>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</sst>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4" topLeftCell="A5" activePane="bottomLeft" state="frozen"/>
      <selection pane="bottomLeft" activeCell="B9" sqref="B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46272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966</v>
      </c>
      <c r="E5" s="34">
        <v>9</v>
      </c>
      <c r="F5" s="6">
        <f>IF(E5=0,0,D5/E5)</f>
        <v>107.33333333333333</v>
      </c>
      <c r="G5" s="35">
        <f>IF(E5=0,0,SUMPRODUCT(F5:F7,J5:J7)/(I5*2.52))</f>
        <v>1.2279898946565613</v>
      </c>
      <c r="H5" s="36">
        <f>G5*I5*E5</f>
        <v>408.92063492063488</v>
      </c>
      <c r="I5" s="36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3"/>
      <c r="B6" s="3" t="s">
        <v>15</v>
      </c>
      <c r="C6" s="4">
        <v>46238</v>
      </c>
      <c r="D6" s="5">
        <v>24</v>
      </c>
      <c r="E6" s="34"/>
      <c r="F6" s="6">
        <f>IF(E5=0,0,D6/E5)</f>
        <v>2.6666666666666665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33"/>
      <c r="B7" s="3" t="s">
        <v>16</v>
      </c>
      <c r="C7" s="4">
        <v>46272</v>
      </c>
      <c r="D7" s="5">
        <v>296</v>
      </c>
      <c r="E7" s="34"/>
      <c r="F7" s="6">
        <f>IF(E5=0,0,D7/E5)</f>
        <v>32.888888888888886</v>
      </c>
      <c r="G7" s="35"/>
      <c r="H7" s="36"/>
      <c r="I7" s="36"/>
      <c r="J7" s="5">
        <v>0.8</v>
      </c>
      <c r="K7" s="6">
        <f>2.52/J7*I5</f>
        <v>116.55</v>
      </c>
      <c r="L7" s="7"/>
    </row>
    <row r="8" spans="1:12">
      <c r="A8" s="8" t="s">
        <v>17</v>
      </c>
      <c r="B8" s="3" t="s">
        <v>15</v>
      </c>
      <c r="C8" s="4">
        <v>46198</v>
      </c>
      <c r="D8" s="5">
        <v>1335</v>
      </c>
      <c r="E8" s="9">
        <v>9</v>
      </c>
      <c r="F8" s="6">
        <f>IF(E8=0,0,D8/E8)</f>
        <v>148.33333333333334</v>
      </c>
      <c r="G8" s="10">
        <f>IF(E8=0,0,SUMPRODUCT(F8:F8,J8:J8)/(I8*2.52))</f>
        <v>1.5061858076563959</v>
      </c>
      <c r="H8" s="11">
        <f>G8*I8*E8</f>
        <v>460.89285714285717</v>
      </c>
      <c r="I8" s="11">
        <v>34</v>
      </c>
      <c r="J8" s="5">
        <v>0.87</v>
      </c>
      <c r="K8" s="6">
        <f>2.52/J8*I8</f>
        <v>98.482758620689651</v>
      </c>
      <c r="L8" s="7">
        <f>E8*I8</f>
        <v>306</v>
      </c>
    </row>
    <row r="9" spans="1:12">
      <c r="A9" s="8" t="s">
        <v>18</v>
      </c>
      <c r="B9" s="3" t="s">
        <v>19</v>
      </c>
      <c r="C9" s="4">
        <v>46245</v>
      </c>
      <c r="D9" s="5">
        <v>841</v>
      </c>
      <c r="E9" s="9">
        <v>9</v>
      </c>
      <c r="F9" s="6">
        <f>IF(E9=0,0,D9/E9)</f>
        <v>93.444444444444443</v>
      </c>
      <c r="G9" s="10">
        <f>IF(E9=0,0,SUMPRODUCT(F9:F9,J9:J9)/(I9*2.52))</f>
        <v>1.6435959769293103</v>
      </c>
      <c r="H9" s="11">
        <f>G9*I9*E9</f>
        <v>547.31746031746036</v>
      </c>
      <c r="I9" s="11">
        <v>37</v>
      </c>
      <c r="J9" s="5">
        <v>1.64</v>
      </c>
      <c r="K9" s="6">
        <f>2.52/J9*I9</f>
        <v>56.853658536585364</v>
      </c>
      <c r="L9" s="7">
        <f>E9*I9</f>
        <v>333</v>
      </c>
    </row>
    <row r="10" spans="1:12">
      <c r="A10" s="8" t="s">
        <v>20</v>
      </c>
      <c r="B10" s="3" t="s">
        <v>21</v>
      </c>
      <c r="C10" s="4">
        <v>46265</v>
      </c>
      <c r="D10" s="5">
        <v>1192</v>
      </c>
      <c r="E10" s="9">
        <v>9</v>
      </c>
      <c r="F10" s="6">
        <f>IF(E10=0,0,D10/E10)</f>
        <v>132.44444444444446</v>
      </c>
      <c r="G10" s="10">
        <f>IF(E10=0,0,SUMPRODUCT(F10:F10,J10:J10)/(I10*2.52))</f>
        <v>1.3064247921390779</v>
      </c>
      <c r="H10" s="11">
        <f>G10*I10*E10</f>
        <v>411.52380952380958</v>
      </c>
      <c r="I10" s="11">
        <v>35</v>
      </c>
      <c r="J10" s="5">
        <v>0.87</v>
      </c>
      <c r="K10" s="6">
        <f>2.52/J10*I10</f>
        <v>101.37931034482759</v>
      </c>
      <c r="L10" s="7">
        <f>E10*I10</f>
        <v>315</v>
      </c>
    </row>
    <row r="11" spans="1:12">
      <c r="A11" s="8" t="s">
        <v>22</v>
      </c>
      <c r="B11" s="3" t="s">
        <v>23</v>
      </c>
      <c r="C11" s="4">
        <v>46213</v>
      </c>
      <c r="D11" s="5">
        <v>749</v>
      </c>
      <c r="E11" s="9">
        <v>9</v>
      </c>
      <c r="F11" s="6">
        <f>IF(E11=0,0,D11/E11)</f>
        <v>83.222222222222229</v>
      </c>
      <c r="G11" s="10">
        <f>IF(E11=0,0,SUMPRODUCT(F11:F11,J11:J11)/(I11*2.52))</f>
        <v>1.9293372319688111</v>
      </c>
      <c r="H11" s="11">
        <f>G11*I11*E11</f>
        <v>659.83333333333337</v>
      </c>
      <c r="I11" s="11">
        <v>38</v>
      </c>
      <c r="J11" s="5">
        <v>2.2200000000000002</v>
      </c>
      <c r="K11" s="6">
        <f>2.52/J11*I11</f>
        <v>43.13513513513513</v>
      </c>
      <c r="L11" s="7">
        <f>E11*I11</f>
        <v>342</v>
      </c>
    </row>
    <row r="12" spans="1:12">
      <c r="A12" s="33" t="s">
        <v>24</v>
      </c>
      <c r="B12" s="3" t="s">
        <v>23</v>
      </c>
      <c r="C12" s="4">
        <v>46207</v>
      </c>
      <c r="D12" s="5">
        <v>470</v>
      </c>
      <c r="E12" s="34">
        <v>9</v>
      </c>
      <c r="F12" s="6">
        <f>IF(E12=0,0,D12/E12)</f>
        <v>52.222222222222221</v>
      </c>
      <c r="G12" s="35">
        <f>IF(E12=0,0,SUMPRODUCT(F12:F13,J12:J13)/(I12*2.52))</f>
        <v>1.7817692379095889</v>
      </c>
      <c r="H12" s="36">
        <f>G12*I12*E12</f>
        <v>609.3650793650794</v>
      </c>
      <c r="I12" s="36">
        <v>38</v>
      </c>
      <c r="J12" s="5">
        <v>2.2200000000000002</v>
      </c>
      <c r="K12" s="6">
        <f>2.52/J12*I12</f>
        <v>43.13513513513513</v>
      </c>
      <c r="L12" s="7">
        <f>E12*I12</f>
        <v>342</v>
      </c>
    </row>
    <row r="13" spans="1:12">
      <c r="A13" s="33"/>
      <c r="B13" s="3" t="s">
        <v>23</v>
      </c>
      <c r="C13" s="4">
        <v>46207</v>
      </c>
      <c r="D13" s="5">
        <v>214</v>
      </c>
      <c r="E13" s="34"/>
      <c r="F13" s="6">
        <f>IF(E12=0,0,D13/E12)</f>
        <v>23.777777777777779</v>
      </c>
      <c r="G13" s="35"/>
      <c r="H13" s="36"/>
      <c r="I13" s="36"/>
      <c r="J13" s="5">
        <v>2.2999999999999998</v>
      </c>
      <c r="K13" s="6">
        <f>2.52/J13*I12</f>
        <v>41.634782608695659</v>
      </c>
      <c r="L13" s="7"/>
    </row>
    <row r="14" spans="1:12">
      <c r="A14" s="33" t="s">
        <v>25</v>
      </c>
      <c r="B14" s="3" t="s">
        <v>26</v>
      </c>
      <c r="C14" s="4">
        <v>46237</v>
      </c>
      <c r="D14" s="5">
        <v>30</v>
      </c>
      <c r="E14" s="34">
        <v>8</v>
      </c>
      <c r="F14" s="6">
        <f>IF(E14=0,0,D14/E14)</f>
        <v>3.75</v>
      </c>
      <c r="G14" s="35">
        <f>IF(E14=0,0,SUMPRODUCT(F14:F15,J14:J15)/(I14*2.52))</f>
        <v>0.42249839124839123</v>
      </c>
      <c r="H14" s="36">
        <f>G14*I14*E14</f>
        <v>125.0595238095238</v>
      </c>
      <c r="I14" s="36">
        <v>37</v>
      </c>
      <c r="J14" s="5">
        <v>1.73</v>
      </c>
      <c r="K14" s="6">
        <f>2.52/J14*I14</f>
        <v>53.895953757225428</v>
      </c>
      <c r="L14" s="7">
        <f>E14*I14</f>
        <v>296</v>
      </c>
    </row>
    <row r="15" spans="1:12">
      <c r="A15" s="33"/>
      <c r="B15" s="3" t="s">
        <v>27</v>
      </c>
      <c r="C15" s="4">
        <v>46272</v>
      </c>
      <c r="D15" s="5">
        <v>325</v>
      </c>
      <c r="E15" s="34"/>
      <c r="F15" s="6">
        <f>IF(E14=0,0,D15/E14)</f>
        <v>40.625</v>
      </c>
      <c r="G15" s="35"/>
      <c r="H15" s="36"/>
      <c r="I15" s="36"/>
      <c r="J15" s="5">
        <v>0.81</v>
      </c>
      <c r="K15" s="6">
        <f>2.52/J15*I14</f>
        <v>115.1111111111111</v>
      </c>
      <c r="L15" s="7"/>
    </row>
    <row r="16" spans="1:12">
      <c r="A16" s="8" t="s">
        <v>28</v>
      </c>
      <c r="B16" s="3" t="s">
        <v>29</v>
      </c>
      <c r="C16" s="4">
        <v>46219</v>
      </c>
      <c r="D16" s="5">
        <v>1042</v>
      </c>
      <c r="E16" s="9">
        <v>9</v>
      </c>
      <c r="F16" s="6">
        <f>IF(E16=0,0,D16/E16)</f>
        <v>115.77777777777777</v>
      </c>
      <c r="G16" s="10">
        <f>IF(E16=0,0,SUMPRODUCT(F16:F16,J16:J16)/(I16*2.52))</f>
        <v>1.0554602221268887</v>
      </c>
      <c r="H16" s="11">
        <f>G16*I16*E16</f>
        <v>351.46825396825398</v>
      </c>
      <c r="I16" s="11">
        <v>37</v>
      </c>
      <c r="J16" s="5">
        <v>0.85</v>
      </c>
      <c r="K16" s="6">
        <f>2.52/J16*I16</f>
        <v>109.69411764705883</v>
      </c>
      <c r="L16" s="7">
        <f>E16*I16</f>
        <v>333</v>
      </c>
    </row>
    <row r="17" spans="1:12">
      <c r="A17" s="8" t="s">
        <v>30</v>
      </c>
      <c r="B17" s="3" t="s">
        <v>31</v>
      </c>
      <c r="C17" s="4">
        <v>46240</v>
      </c>
      <c r="D17" s="5">
        <v>650</v>
      </c>
      <c r="E17" s="9">
        <v>9</v>
      </c>
      <c r="F17" s="6">
        <f>IF(E17=0,0,D17/E17)</f>
        <v>72.222222222222229</v>
      </c>
      <c r="G17" s="10">
        <f>IF(E17=0,0,SUMPRODUCT(F17:F17,J17:J17)/(I17*2.52))</f>
        <v>1.3477763477763478</v>
      </c>
      <c r="H17" s="11">
        <f>G17*I17*E17</f>
        <v>448.8095238095238</v>
      </c>
      <c r="I17" s="11">
        <v>37</v>
      </c>
      <c r="J17" s="5">
        <v>1.74</v>
      </c>
      <c r="K17" s="6">
        <f>2.52/J17*I17</f>
        <v>53.586206896551722</v>
      </c>
      <c r="L17" s="7">
        <f>E17*I17</f>
        <v>333</v>
      </c>
    </row>
    <row r="18" spans="1:12">
      <c r="A18" s="8" t="s">
        <v>32</v>
      </c>
      <c r="B18" s="3" t="s">
        <v>33</v>
      </c>
      <c r="C18" s="4">
        <v>46267</v>
      </c>
      <c r="D18" s="5">
        <v>608</v>
      </c>
      <c r="E18" s="9">
        <v>8</v>
      </c>
      <c r="F18" s="6">
        <f>IF(E18=0,0,D18/E18)</f>
        <v>76</v>
      </c>
      <c r="G18" s="10">
        <f>IF(E18=0,0,SUMPRODUCT(F18:F18,J18:J18)/(I18*2.52))</f>
        <v>0.62762762762762769</v>
      </c>
      <c r="H18" s="11">
        <f>G18*I18*E18</f>
        <v>185.7777777777778</v>
      </c>
      <c r="I18" s="11">
        <v>37</v>
      </c>
      <c r="J18" s="5">
        <v>0.77</v>
      </c>
      <c r="K18" s="6">
        <f>2.52/J18*I18</f>
        <v>121.09090909090908</v>
      </c>
      <c r="L18" s="7">
        <f>E18*I18</f>
        <v>296</v>
      </c>
    </row>
    <row r="19" spans="1:12">
      <c r="A19" s="8" t="s">
        <v>34</v>
      </c>
      <c r="B19" s="3" t="s">
        <v>23</v>
      </c>
      <c r="C19" s="4">
        <v>46262</v>
      </c>
      <c r="D19" s="5">
        <v>831</v>
      </c>
      <c r="E19" s="9">
        <v>9</v>
      </c>
      <c r="F19" s="6">
        <f>IF(E19=0,0,D19/E19)</f>
        <v>92.333333333333329</v>
      </c>
      <c r="G19" s="10">
        <f>IF(E19=0,0,SUMPRODUCT(F19:F19,J19:J19)/(I19*2.52))</f>
        <v>2.085673585673586</v>
      </c>
      <c r="H19" s="11">
        <f>G19*I19*E19</f>
        <v>732.07142857142867</v>
      </c>
      <c r="I19" s="11">
        <v>39</v>
      </c>
      <c r="J19" s="5">
        <v>2.2200000000000002</v>
      </c>
      <c r="K19" s="6">
        <f>2.52/J19*I19</f>
        <v>44.270270270270267</v>
      </c>
      <c r="L19" s="7">
        <f>E19*I19</f>
        <v>351</v>
      </c>
    </row>
    <row r="20" spans="1:12">
      <c r="A20" s="33" t="s">
        <v>35</v>
      </c>
      <c r="B20" s="3" t="s">
        <v>36</v>
      </c>
      <c r="C20" s="4"/>
      <c r="D20" s="5">
        <v>0</v>
      </c>
      <c r="E20" s="34">
        <v>9</v>
      </c>
      <c r="F20" s="6">
        <f>IF(E20=0,0,D20/E20)</f>
        <v>0</v>
      </c>
      <c r="G20" s="35">
        <f>IF(E20=0,0,SUMPRODUCT(F20:F21,J20:J21)/(I20*2.52))</f>
        <v>1.0630153963487297</v>
      </c>
      <c r="H20" s="36">
        <f>G20*I20*E20</f>
        <v>353.98412698412699</v>
      </c>
      <c r="I20" s="36">
        <v>37</v>
      </c>
      <c r="J20" s="5">
        <v>1.22</v>
      </c>
      <c r="K20" s="6">
        <f>2.52/J20*I20</f>
        <v>76.426229508196727</v>
      </c>
      <c r="L20" s="7">
        <f>E20*I20</f>
        <v>333</v>
      </c>
    </row>
    <row r="21" spans="1:12">
      <c r="A21" s="33"/>
      <c r="B21" s="3" t="s">
        <v>37</v>
      </c>
      <c r="C21" s="4">
        <v>46235</v>
      </c>
      <c r="D21" s="5">
        <v>769</v>
      </c>
      <c r="E21" s="34"/>
      <c r="F21" s="6">
        <f>IF(E20=0,0,D21/E20)</f>
        <v>85.444444444444443</v>
      </c>
      <c r="G21" s="35"/>
      <c r="H21" s="36"/>
      <c r="I21" s="36"/>
      <c r="J21" s="5">
        <v>1.1599999999999999</v>
      </c>
      <c r="K21" s="6">
        <f>2.52/J21*I20</f>
        <v>80.379310344827587</v>
      </c>
      <c r="L21" s="7"/>
    </row>
    <row r="22" spans="1:12">
      <c r="A22" s="8" t="s">
        <v>38</v>
      </c>
      <c r="B22" s="3" t="s">
        <v>21</v>
      </c>
      <c r="C22" s="4">
        <v>46255</v>
      </c>
      <c r="D22" s="5">
        <v>1460</v>
      </c>
      <c r="E22" s="9">
        <v>9</v>
      </c>
      <c r="F22" s="6">
        <f>IF(E22=0,0,D22/E22)</f>
        <v>162.22222222222223</v>
      </c>
      <c r="G22" s="10">
        <f>IF(E22=0,0,SUMPRODUCT(F22:F22,J22:J22)/(I22*2.52))</f>
        <v>1.4360331026997692</v>
      </c>
      <c r="H22" s="11">
        <f>G22*I22*E22</f>
        <v>504.04761904761898</v>
      </c>
      <c r="I22" s="11">
        <v>39</v>
      </c>
      <c r="J22" s="5">
        <v>0.87</v>
      </c>
      <c r="K22" s="6">
        <f>2.52/J22*I22</f>
        <v>112.96551724137932</v>
      </c>
      <c r="L22" s="7">
        <f>E22*I22</f>
        <v>351</v>
      </c>
    </row>
    <row r="23" spans="1:12">
      <c r="A23" s="8" t="s">
        <v>39</v>
      </c>
      <c r="B23" s="3" t="s">
        <v>40</v>
      </c>
      <c r="C23" s="4">
        <v>46192</v>
      </c>
      <c r="D23" s="5">
        <v>1101</v>
      </c>
      <c r="E23" s="9">
        <v>9</v>
      </c>
      <c r="F23" s="6">
        <f>IF(E23=0,0,D23/E23)</f>
        <v>122.33333333333333</v>
      </c>
      <c r="G23" s="10">
        <f>IF(E23=0,0,SUMPRODUCT(F23:F23,J23:J23)/(I23*2.52))</f>
        <v>1.7260435038212818</v>
      </c>
      <c r="H23" s="11">
        <f>G23*I23*E23</f>
        <v>559.2380952380953</v>
      </c>
      <c r="I23" s="11">
        <v>36</v>
      </c>
      <c r="J23" s="5">
        <v>1.28</v>
      </c>
      <c r="K23" s="6">
        <f>2.52/J23*I23</f>
        <v>70.875</v>
      </c>
      <c r="L23" s="7">
        <f>E23*I23</f>
        <v>324</v>
      </c>
    </row>
    <row r="24" spans="1:12">
      <c r="A24" s="8" t="s">
        <v>41</v>
      </c>
      <c r="B24" s="3" t="s">
        <v>15</v>
      </c>
      <c r="C24" s="4">
        <v>46209</v>
      </c>
      <c r="D24" s="5">
        <v>2011</v>
      </c>
      <c r="E24" s="9">
        <v>9</v>
      </c>
      <c r="F24" s="6">
        <f>IF(E24=0,0,D24/E24)</f>
        <v>223.44444444444446</v>
      </c>
      <c r="G24" s="10">
        <f>IF(E24=0,0,SUMPRODUCT(F24:F24,J24:J24)/(I24*2.52))</f>
        <v>2.0849063349063353</v>
      </c>
      <c r="H24" s="11">
        <f>G24*I24*E24</f>
        <v>694.27380952380963</v>
      </c>
      <c r="I24" s="11">
        <v>37</v>
      </c>
      <c r="J24" s="5">
        <v>0.87</v>
      </c>
      <c r="K24" s="6">
        <f>2.52/J24*I24</f>
        <v>107.17241379310344</v>
      </c>
      <c r="L24" s="7">
        <f>E24*I24</f>
        <v>333</v>
      </c>
    </row>
    <row r="25" spans="1:12">
      <c r="A25" s="33" t="s">
        <v>42</v>
      </c>
      <c r="B25" s="3" t="s">
        <v>43</v>
      </c>
      <c r="C25" s="4">
        <v>46262</v>
      </c>
      <c r="D25" s="5">
        <v>20</v>
      </c>
      <c r="E25" s="34">
        <v>8</v>
      </c>
      <c r="F25" s="6">
        <f>IF(E25=0,0,D25/E25)</f>
        <v>2.5</v>
      </c>
      <c r="G25" s="35">
        <f>IF(E25=0,0,SUMPRODUCT(F25:F26,J25:J26)/(I25*2.52))</f>
        <v>1.0404620181405897</v>
      </c>
      <c r="H25" s="36">
        <f>G25*I25*E25</f>
        <v>291.32936507936512</v>
      </c>
      <c r="I25" s="36">
        <v>35</v>
      </c>
      <c r="J25" s="5">
        <v>0.96</v>
      </c>
      <c r="K25" s="6">
        <f>2.52/J25*I25</f>
        <v>91.875</v>
      </c>
      <c r="L25" s="7">
        <f>E25*I25</f>
        <v>280</v>
      </c>
    </row>
    <row r="26" spans="1:12">
      <c r="A26" s="33"/>
      <c r="B26" s="3" t="s">
        <v>44</v>
      </c>
      <c r="C26" s="4">
        <v>46269</v>
      </c>
      <c r="D26" s="5">
        <v>905</v>
      </c>
      <c r="E26" s="34"/>
      <c r="F26" s="6">
        <f>IF(E25=0,0,D26/E25)</f>
        <v>113.125</v>
      </c>
      <c r="G26" s="35"/>
      <c r="H26" s="36"/>
      <c r="I26" s="36"/>
      <c r="J26" s="5">
        <v>0.79</v>
      </c>
      <c r="K26" s="6">
        <f>2.52/J26*I25</f>
        <v>111.64556962025316</v>
      </c>
      <c r="L26" s="7"/>
    </row>
    <row r="27" spans="1:12">
      <c r="A27" s="8" t="s">
        <v>45</v>
      </c>
      <c r="B27" s="3" t="s">
        <v>23</v>
      </c>
      <c r="C27" s="4">
        <v>46155</v>
      </c>
      <c r="D27" s="5">
        <v>702</v>
      </c>
      <c r="E27" s="9">
        <v>9</v>
      </c>
      <c r="F27" s="6">
        <f>IF(E27=0,0,D27/E27)</f>
        <v>78</v>
      </c>
      <c r="G27" s="10">
        <f>IF(E27=0,0,SUMPRODUCT(F27:F27,J27:J27)/(I27*2.52))</f>
        <v>1.7178571428571432</v>
      </c>
      <c r="H27" s="11">
        <f>G27*I27*E27</f>
        <v>618.42857142857156</v>
      </c>
      <c r="I27" s="11">
        <v>40</v>
      </c>
      <c r="J27" s="5">
        <v>2.2200000000000002</v>
      </c>
      <c r="K27" s="6">
        <f>2.52/J27*I27</f>
        <v>45.405405405405403</v>
      </c>
      <c r="L27" s="7">
        <f>E27*I27</f>
        <v>360</v>
      </c>
    </row>
    <row r="28" spans="1:12">
      <c r="A28" s="8" t="s">
        <v>46</v>
      </c>
      <c r="B28" s="3" t="s">
        <v>27</v>
      </c>
      <c r="C28" s="4">
        <v>46268</v>
      </c>
      <c r="D28" s="5">
        <v>801</v>
      </c>
      <c r="E28" s="9">
        <v>8</v>
      </c>
      <c r="F28" s="6">
        <f>IF(E28=0,0,D28/E28)</f>
        <v>100.125</v>
      </c>
      <c r="G28" s="10">
        <f>IF(E28=0,0,SUMPRODUCT(F28:F28,J28:J28)/(I28*2.52))</f>
        <v>0.86981177606177618</v>
      </c>
      <c r="H28" s="11">
        <f>G28*I28*E28</f>
        <v>257.46428571428572</v>
      </c>
      <c r="I28" s="11">
        <v>37</v>
      </c>
      <c r="J28" s="5">
        <v>0.81</v>
      </c>
      <c r="K28" s="6">
        <f>2.52/J28*I28</f>
        <v>115.1111111111111</v>
      </c>
      <c r="L28" s="7">
        <f>E28*I28</f>
        <v>296</v>
      </c>
    </row>
    <row r="29" spans="1:12">
      <c r="A29" s="8" t="s">
        <v>47</v>
      </c>
      <c r="B29" s="3" t="s">
        <v>15</v>
      </c>
      <c r="C29" s="4">
        <v>46192</v>
      </c>
      <c r="D29" s="5">
        <v>1852</v>
      </c>
      <c r="E29" s="9">
        <v>8</v>
      </c>
      <c r="F29" s="6">
        <f>IF(E29=0,0,D29/E29)</f>
        <v>231.5</v>
      </c>
      <c r="G29" s="10">
        <f>IF(E29=0,0,SUMPRODUCT(F29:F29,J29:J29)/(I29*2.52))</f>
        <v>2.160070785070785</v>
      </c>
      <c r="H29" s="11">
        <f>G29*I29*E29</f>
        <v>639.38095238095241</v>
      </c>
      <c r="I29" s="11">
        <v>37</v>
      </c>
      <c r="J29" s="5">
        <v>0.87</v>
      </c>
      <c r="K29" s="6">
        <f>2.52/J29*I29</f>
        <v>107.17241379310344</v>
      </c>
      <c r="L29" s="7">
        <f>E29*I29</f>
        <v>296</v>
      </c>
    </row>
    <row r="30" spans="1:12">
      <c r="A30" s="33" t="s">
        <v>48</v>
      </c>
      <c r="B30" s="3" t="s">
        <v>44</v>
      </c>
      <c r="C30" s="4">
        <v>46253</v>
      </c>
      <c r="D30" s="5">
        <v>58</v>
      </c>
      <c r="E30" s="34">
        <v>8</v>
      </c>
      <c r="F30" s="6">
        <f>IF(E30=0,0,D30/E30)</f>
        <v>7.25</v>
      </c>
      <c r="G30" s="35">
        <f>IF(E30=0,0,SUMPRODUCT(F30:F31,J30:J31)/(I30*2.52))</f>
        <v>9.3030753968253971E-2</v>
      </c>
      <c r="H30" s="36">
        <f>G30*I30*E30</f>
        <v>29.769841269841272</v>
      </c>
      <c r="I30" s="36">
        <v>40</v>
      </c>
      <c r="J30" s="5">
        <v>0.79</v>
      </c>
      <c r="K30" s="6">
        <f>2.52/J30*I30</f>
        <v>127.59493670886074</v>
      </c>
      <c r="L30" s="7">
        <f>E30*I30</f>
        <v>320</v>
      </c>
    </row>
    <row r="31" spans="1:12">
      <c r="A31" s="33"/>
      <c r="B31" s="3" t="s">
        <v>49</v>
      </c>
      <c r="C31" s="4">
        <v>46272</v>
      </c>
      <c r="D31" s="5">
        <v>20</v>
      </c>
      <c r="E31" s="34"/>
      <c r="F31" s="6">
        <f>IF(E30=0,0,D31/E30)</f>
        <v>2.5</v>
      </c>
      <c r="G31" s="35"/>
      <c r="H31" s="36"/>
      <c r="I31" s="36"/>
      <c r="J31" s="5">
        <v>1.46</v>
      </c>
      <c r="K31" s="6">
        <f>2.52/J31*I30</f>
        <v>69.041095890410958</v>
      </c>
      <c r="L31" s="7"/>
    </row>
    <row r="32" spans="1:12">
      <c r="A32" s="27" t="s">
        <v>50</v>
      </c>
      <c r="B32" s="28"/>
      <c r="C32" s="29"/>
      <c r="D32" s="12">
        <f>SUM(D5:D31)</f>
        <v>19272</v>
      </c>
      <c r="E32" s="13">
        <f>SUM(E5:E31)</f>
        <v>174</v>
      </c>
      <c r="F32" s="14"/>
      <c r="G32" s="15">
        <f>SUM(H5:H31)/L32</f>
        <v>1.3732359569297621</v>
      </c>
      <c r="H32" s="12"/>
      <c r="I32" s="12">
        <f>SUM(I5:I31)</f>
        <v>744</v>
      </c>
      <c r="J32" s="12"/>
      <c r="K32" s="14"/>
      <c r="L32" s="16">
        <f>SUM(L5:L31)</f>
        <v>6473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30" t="s">
        <v>51</v>
      </c>
      <c r="B34" s="31"/>
      <c r="C34" s="32"/>
      <c r="D34" s="20">
        <f>SUMIF(A5:A33, "&lt;&gt;Summary", D5:D33)</f>
        <v>19272</v>
      </c>
      <c r="E34" s="21">
        <f>SUMIF(A5:A33, "&lt;&gt;Summary", E5:E33)</f>
        <v>174</v>
      </c>
      <c r="F34" s="22"/>
      <c r="G34" s="23">
        <f>SUMIF(A5:A33, "&lt;&gt;Summary", H5:H33)/L34</f>
        <v>1.3732359569297621</v>
      </c>
      <c r="H34" s="20"/>
      <c r="I34" s="20">
        <f>SUMIF(A5:A33, "&lt;&gt;Summary", I5:I33)</f>
        <v>744</v>
      </c>
      <c r="J34" s="20"/>
      <c r="K34" s="22"/>
      <c r="L34" s="24">
        <f>SUMIF(A5:A33, "&lt;&gt;Summary", L5:L33)</f>
        <v>6473</v>
      </c>
    </row>
    <row r="35" spans="1:12" ht="13.5" thickTop="1"/>
    <row r="36" spans="1:12">
      <c r="C36" s="25" t="s">
        <v>52</v>
      </c>
      <c r="D36" s="26">
        <f>SUM(H5:H11)/SUM(L5:L11)</f>
        <v>1.5276170013739077</v>
      </c>
    </row>
    <row r="37" spans="1:12">
      <c r="C37" s="25" t="s">
        <v>53</v>
      </c>
      <c r="D37" s="26">
        <f>SUM(H12:H18)/SUM(L12:L18)</f>
        <v>1.0753000992063493</v>
      </c>
    </row>
    <row r="38" spans="1:12">
      <c r="C38" s="25" t="s">
        <v>54</v>
      </c>
      <c r="D38" s="26">
        <f>SUM(H19:H24)/SUM(L19:L24)</f>
        <v>1.6806235693647043</v>
      </c>
    </row>
    <row r="39" spans="1:12">
      <c r="C39" s="25" t="s">
        <v>55</v>
      </c>
      <c r="D39" s="26">
        <f>SUM(H25:H31)/SUM(L25:L31)</f>
        <v>1.1832300360006547</v>
      </c>
    </row>
  </sheetData>
  <mergeCells count="4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2:A13"/>
    <mergeCell ref="E12:E13"/>
    <mergeCell ref="G12:G13"/>
    <mergeCell ref="H12:H13"/>
    <mergeCell ref="I12:I13"/>
    <mergeCell ref="A5:A7"/>
    <mergeCell ref="E5:E7"/>
    <mergeCell ref="G5:G7"/>
    <mergeCell ref="H5:H7"/>
    <mergeCell ref="I5:I7"/>
    <mergeCell ref="A20:A21"/>
    <mergeCell ref="E20:E21"/>
    <mergeCell ref="G20:G21"/>
    <mergeCell ref="H20:H21"/>
    <mergeCell ref="I20:I21"/>
    <mergeCell ref="A14:A15"/>
    <mergeCell ref="E14:E15"/>
    <mergeCell ref="G14:G15"/>
    <mergeCell ref="H14:H15"/>
    <mergeCell ref="I14:I15"/>
    <mergeCell ref="H25:H26"/>
    <mergeCell ref="I25:I26"/>
    <mergeCell ref="A30:A31"/>
    <mergeCell ref="E30:E31"/>
    <mergeCell ref="G30:G31"/>
    <mergeCell ref="H30:H31"/>
    <mergeCell ref="I30:I31"/>
    <mergeCell ref="A32:C32"/>
    <mergeCell ref="A34:C34"/>
    <mergeCell ref="A25:A26"/>
    <mergeCell ref="E25:E26"/>
    <mergeCell ref="G25:G26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2026-09-08T01:52:43Z</cp:lastPrinted>
  <dcterms:created xsi:type="dcterms:W3CDTF">2026-09-08T00:39:15Z</dcterms:created>
  <dcterms:modified xsi:type="dcterms:W3CDTF">2026-09-08T02:01:48Z</dcterms:modified>
</cp:coreProperties>
</file>