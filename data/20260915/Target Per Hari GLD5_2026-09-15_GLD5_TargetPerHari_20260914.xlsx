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45" windowWidth="20955" windowHeight="12480"/>
  </bookViews>
  <sheets>
    <sheet name="TargetPerHari" sheetId="1" r:id="rId1"/>
    <sheet name="Sheet2" sheetId="2" r:id="rId2"/>
    <sheet name="Sheet3" sheetId="3" r:id="rId3"/>
  </sheets>
  <definedNames>
    <definedName name="_xlnm.Print_Titles" localSheetId="0">TargetPerHari!$1:$4</definedName>
  </definedNames>
  <calcPr calcId="125725"/>
</workbook>
</file>

<file path=xl/calcChain.xml><?xml version="1.0" encoding="utf-8"?>
<calcChain xmlns="http://schemas.openxmlformats.org/spreadsheetml/2006/main">
  <c r="F32" i="1"/>
  <c r="F6"/>
  <c r="F7"/>
  <c r="F8"/>
  <c r="F9"/>
  <c r="F10"/>
  <c r="F11"/>
  <c r="F12"/>
  <c r="F13"/>
  <c r="F14"/>
  <c r="F15"/>
  <c r="F16"/>
  <c r="F17"/>
  <c r="F18"/>
  <c r="F19"/>
  <c r="F20"/>
  <c r="F21"/>
  <c r="F22"/>
  <c r="F23"/>
  <c r="F24"/>
  <c r="F25"/>
  <c r="F26"/>
  <c r="F27"/>
  <c r="F28"/>
  <c r="F29"/>
  <c r="F30"/>
  <c r="F31"/>
  <c r="F5"/>
  <c r="E32"/>
  <c r="D39"/>
  <c r="D38"/>
  <c r="D37"/>
  <c r="D36"/>
  <c r="O34" l="1"/>
  <c r="I34" s="1"/>
  <c r="L34"/>
  <c r="G34"/>
  <c r="D34"/>
  <c r="O32"/>
  <c r="L32"/>
  <c r="I32"/>
  <c r="G32"/>
  <c r="D32"/>
  <c r="O31"/>
  <c r="K31"/>
  <c r="I31"/>
  <c r="N31"/>
  <c r="H31"/>
  <c r="O30"/>
  <c r="K30"/>
  <c r="I30"/>
  <c r="N30"/>
  <c r="H30"/>
  <c r="O29"/>
  <c r="K29"/>
  <c r="I29"/>
  <c r="N29"/>
  <c r="H29"/>
  <c r="O28"/>
  <c r="K28"/>
  <c r="I28"/>
  <c r="N28"/>
  <c r="H28"/>
  <c r="O27"/>
  <c r="K27"/>
  <c r="I27"/>
  <c r="N27"/>
  <c r="H27"/>
  <c r="O25"/>
  <c r="K25"/>
  <c r="I25"/>
  <c r="N26"/>
  <c r="H26"/>
  <c r="N25"/>
  <c r="H25"/>
  <c r="O23"/>
  <c r="K23"/>
  <c r="I23"/>
  <c r="N24"/>
  <c r="H24"/>
  <c r="N23"/>
  <c r="H23"/>
  <c r="O22"/>
  <c r="K22"/>
  <c r="I22"/>
  <c r="N22"/>
  <c r="H22"/>
  <c r="O21"/>
  <c r="K21"/>
  <c r="I21"/>
  <c r="N21"/>
  <c r="H21"/>
  <c r="O19"/>
  <c r="K19"/>
  <c r="I19"/>
  <c r="N20"/>
  <c r="H20"/>
  <c r="N19"/>
  <c r="H19"/>
  <c r="O18"/>
  <c r="K18"/>
  <c r="I18"/>
  <c r="N18"/>
  <c r="H18"/>
  <c r="O17"/>
  <c r="K17"/>
  <c r="I17"/>
  <c r="N17"/>
  <c r="H17"/>
  <c r="O15"/>
  <c r="K15"/>
  <c r="I15"/>
  <c r="N16"/>
  <c r="H16"/>
  <c r="N15"/>
  <c r="H15"/>
  <c r="O14"/>
  <c r="K14"/>
  <c r="I14"/>
  <c r="N14"/>
  <c r="H14"/>
  <c r="O13"/>
  <c r="K13"/>
  <c r="I13"/>
  <c r="N13"/>
  <c r="H13"/>
  <c r="O11"/>
  <c r="K11"/>
  <c r="I11"/>
  <c r="N12"/>
  <c r="H12"/>
  <c r="N11"/>
  <c r="H11"/>
  <c r="O10"/>
  <c r="K10"/>
  <c r="I10"/>
  <c r="N10"/>
  <c r="H10"/>
  <c r="O9"/>
  <c r="K9"/>
  <c r="I9"/>
  <c r="N9"/>
  <c r="H9"/>
  <c r="O8"/>
  <c r="K8"/>
  <c r="I8"/>
  <c r="N8"/>
  <c r="H8"/>
  <c r="O5"/>
  <c r="K5"/>
  <c r="I5"/>
  <c r="N7"/>
  <c r="H7"/>
  <c r="N6"/>
  <c r="H6"/>
  <c r="N5"/>
  <c r="H5"/>
</calcChain>
</file>

<file path=xl/sharedStrings.xml><?xml version="1.0" encoding="utf-8"?>
<sst xmlns="http://schemas.openxmlformats.org/spreadsheetml/2006/main" count="69" uniqueCount="61">
  <si>
    <t>Date :</t>
  </si>
  <si>
    <t>Line</t>
  </si>
  <si>
    <t>Style</t>
  </si>
  <si>
    <t>Layout (Sewing In Pertama Hari)</t>
  </si>
  <si>
    <t>pcs/hari</t>
  </si>
  <si>
    <t>JKK</t>
  </si>
  <si>
    <t>pcs/jam</t>
  </si>
  <si>
    <t>prosentase</t>
  </si>
  <si>
    <t>EFF%</t>
  </si>
  <si>
    <t>Persons</t>
  </si>
  <si>
    <t>IE</t>
  </si>
  <si>
    <t>STD output</t>
  </si>
  <si>
    <t>Ttl Hours</t>
  </si>
  <si>
    <t>5-01</t>
  </si>
  <si>
    <t>DAB14127_Q426</t>
  </si>
  <si>
    <t>DAB14127_Q127</t>
  </si>
  <si>
    <t>DAB15113PR_Q127</t>
  </si>
  <si>
    <t>5-02</t>
  </si>
  <si>
    <t>P6W6E9_C127</t>
  </si>
  <si>
    <t>5-03</t>
  </si>
  <si>
    <t>LK880_FA26</t>
  </si>
  <si>
    <t>5-04</t>
  </si>
  <si>
    <t>P68YG3_C127</t>
  </si>
  <si>
    <t>5-05</t>
  </si>
  <si>
    <t>W98Z8Z_C426IND</t>
  </si>
  <si>
    <t>5-06</t>
  </si>
  <si>
    <t>G95056_C127</t>
  </si>
  <si>
    <t>5-07</t>
  </si>
  <si>
    <t>315260003_SP27</t>
  </si>
  <si>
    <t>5-08</t>
  </si>
  <si>
    <t>G9MLYZ_C127</t>
  </si>
  <si>
    <t>319260003</t>
  </si>
  <si>
    <t>5-09</t>
  </si>
  <si>
    <t>ST841_FA26</t>
  </si>
  <si>
    <t>5-10</t>
  </si>
  <si>
    <t>1KM1XY_C127</t>
  </si>
  <si>
    <t>5-11</t>
  </si>
  <si>
    <t>5-12</t>
  </si>
  <si>
    <t>LK864_FA26</t>
  </si>
  <si>
    <t>5-13</t>
  </si>
  <si>
    <t>5-14</t>
  </si>
  <si>
    <t>K880_FA26</t>
  </si>
  <si>
    <t>K880V_FA26</t>
  </si>
  <si>
    <t>5-15</t>
  </si>
  <si>
    <t>K86W2L_C426IND</t>
  </si>
  <si>
    <t>5-16</t>
  </si>
  <si>
    <t>MAX233402_Q127</t>
  </si>
  <si>
    <t>5-17</t>
  </si>
  <si>
    <t>5-18</t>
  </si>
  <si>
    <t>5-19</t>
  </si>
  <si>
    <t>5-20</t>
  </si>
  <si>
    <t>WCG2032_Q127</t>
  </si>
  <si>
    <t>Summary</t>
  </si>
  <si>
    <t>Grand Total</t>
  </si>
  <si>
    <t>LINE 1-5</t>
  </si>
  <si>
    <t>LINE 6-10</t>
  </si>
  <si>
    <t>LINE 11-15</t>
  </si>
  <si>
    <t>LINE 16-20</t>
  </si>
  <si>
    <t>EQC</t>
  </si>
  <si>
    <t>SELISIH</t>
  </si>
  <si>
    <t>PERMINTAAN SCHEDULE</t>
  </si>
</sst>
</file>

<file path=xl/styles.xml><?xml version="1.0" encoding="utf-8"?>
<styleSheet xmlns="http://schemas.openxmlformats.org/spreadsheetml/2006/main">
  <numFmts count="4">
    <numFmt numFmtId="164" formatCode="[$-409]dd\-mmm\-yyyy;@"/>
    <numFmt numFmtId="165" formatCode="0.00_ "/>
    <numFmt numFmtId="166" formatCode="0_ "/>
    <numFmt numFmtId="167" formatCode="0.0%"/>
  </numFmts>
  <fonts count="3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14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164" fontId="1" fillId="0" borderId="0" xfId="0" applyNumberFormat="1" applyFont="1"/>
    <xf numFmtId="49" fontId="1" fillId="0" borderId="5" xfId="0" applyNumberFormat="1" applyFont="1" applyBorder="1"/>
    <xf numFmtId="164" fontId="1" fillId="0" borderId="5" xfId="0" applyNumberFormat="1" applyFont="1" applyBorder="1"/>
    <xf numFmtId="0" fontId="1" fillId="0" borderId="5" xfId="0" applyFont="1" applyBorder="1"/>
    <xf numFmtId="166" fontId="1" fillId="0" borderId="5" xfId="0" applyNumberFormat="1" applyFont="1" applyBorder="1"/>
    <xf numFmtId="0" fontId="1" fillId="0" borderId="6" xfId="0" applyFont="1" applyBorder="1"/>
    <xf numFmtId="49" fontId="1" fillId="0" borderId="4" xfId="0" applyNumberFormat="1" applyFont="1" applyBorder="1" applyAlignment="1">
      <alignment horizontal="center" vertical="center"/>
    </xf>
    <xf numFmtId="165" fontId="1" fillId="0" borderId="5" xfId="0" applyNumberFormat="1" applyFont="1" applyBorder="1" applyAlignment="1">
      <alignment horizontal="center" vertical="center"/>
    </xf>
    <xf numFmtId="167" fontId="1" fillId="0" borderId="5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2" borderId="5" xfId="0" applyFont="1" applyFill="1" applyBorder="1"/>
    <xf numFmtId="165" fontId="1" fillId="2" borderId="5" xfId="0" applyNumberFormat="1" applyFont="1" applyFill="1" applyBorder="1"/>
    <xf numFmtId="166" fontId="1" fillId="2" borderId="5" xfId="0" applyNumberFormat="1" applyFont="1" applyFill="1" applyBorder="1"/>
    <xf numFmtId="167" fontId="1" fillId="2" borderId="5" xfId="0" applyNumberFormat="1" applyFont="1" applyFill="1" applyBorder="1"/>
    <xf numFmtId="0" fontId="1" fillId="2" borderId="6" xfId="0" applyFont="1" applyFill="1" applyBorder="1"/>
    <xf numFmtId="0" fontId="1" fillId="0" borderId="4" xfId="0" applyFont="1" applyBorder="1"/>
    <xf numFmtId="165" fontId="1" fillId="0" borderId="5" xfId="0" applyNumberFormat="1" applyFont="1" applyBorder="1"/>
    <xf numFmtId="167" fontId="1" fillId="0" borderId="5" xfId="0" applyNumberFormat="1" applyFont="1" applyBorder="1"/>
    <xf numFmtId="0" fontId="1" fillId="2" borderId="8" xfId="0" applyFont="1" applyFill="1" applyBorder="1"/>
    <xf numFmtId="165" fontId="1" fillId="2" borderId="8" xfId="0" applyNumberFormat="1" applyFont="1" applyFill="1" applyBorder="1"/>
    <xf numFmtId="166" fontId="1" fillId="2" borderId="8" xfId="0" applyNumberFormat="1" applyFont="1" applyFill="1" applyBorder="1"/>
    <xf numFmtId="167" fontId="1" fillId="2" borderId="8" xfId="0" applyNumberFormat="1" applyFont="1" applyFill="1" applyBorder="1"/>
    <xf numFmtId="0" fontId="1" fillId="2" borderId="9" xfId="0" applyFont="1" applyFill="1" applyBorder="1"/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164" fontId="1" fillId="2" borderId="5" xfId="0" applyNumberFormat="1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164" fontId="1" fillId="2" borderId="8" xfId="0" applyNumberFormat="1" applyFont="1" applyFill="1" applyBorder="1" applyAlignment="1">
      <alignment horizontal="center" vertical="center"/>
    </xf>
    <xf numFmtId="49" fontId="1" fillId="0" borderId="4" xfId="0" applyNumberFormat="1" applyFont="1" applyBorder="1" applyAlignment="1">
      <alignment horizontal="center" vertical="center"/>
    </xf>
    <xf numFmtId="165" fontId="1" fillId="0" borderId="5" xfId="0" applyNumberFormat="1" applyFont="1" applyBorder="1" applyAlignment="1">
      <alignment horizontal="center" vertical="center"/>
    </xf>
    <xf numFmtId="167" fontId="1" fillId="0" borderId="5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2" fillId="0" borderId="0" xfId="0" applyFont="1"/>
    <xf numFmtId="167" fontId="2" fillId="0" borderId="0" xfId="0" applyNumberFormat="1" applyFont="1"/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167" fontId="1" fillId="0" borderId="12" xfId="0" applyNumberFormat="1" applyFont="1" applyBorder="1" applyAlignment="1">
      <alignment horizontal="center" vertical="center"/>
    </xf>
    <xf numFmtId="167" fontId="1" fillId="0" borderId="13" xfId="0" applyNumberFormat="1" applyFont="1" applyBorder="1" applyAlignment="1">
      <alignment horizontal="center" vertical="center"/>
    </xf>
    <xf numFmtId="167" fontId="1" fillId="0" borderId="1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39"/>
  <sheetViews>
    <sheetView tabSelected="1" zoomScaleNormal="100" workbookViewId="0">
      <pane ySplit="4" topLeftCell="A5" activePane="bottomLeft" state="frozen"/>
      <selection pane="bottomLeft" activeCell="J18" sqref="J18"/>
    </sheetView>
  </sheetViews>
  <sheetFormatPr defaultRowHeight="12.75"/>
  <cols>
    <col min="1" max="1" width="10.7109375" style="1" customWidth="1"/>
    <col min="2" max="2" width="16.7109375" style="1" customWidth="1"/>
    <col min="3" max="3" width="12.7109375" style="1" customWidth="1"/>
    <col min="4" max="4" width="8.7109375" style="1" customWidth="1"/>
    <col min="5" max="6" width="8.7109375" style="1" hidden="1" customWidth="1"/>
    <col min="7" max="9" width="8.7109375" style="1" customWidth="1"/>
    <col min="10" max="10" width="12.28515625" style="1" customWidth="1"/>
    <col min="11" max="11" width="8.7109375" style="1" customWidth="1"/>
    <col min="12" max="16384" width="9.140625" style="1"/>
  </cols>
  <sheetData>
    <row r="1" spans="1:15">
      <c r="A1" s="1" t="s">
        <v>0</v>
      </c>
      <c r="B1" s="2">
        <v>46279</v>
      </c>
    </row>
    <row r="2" spans="1:15" ht="13.5" thickBot="1"/>
    <row r="3" spans="1:15" ht="13.5" thickTop="1">
      <c r="A3" s="39" t="s">
        <v>1</v>
      </c>
      <c r="B3" s="35" t="s">
        <v>2</v>
      </c>
      <c r="C3" s="35" t="s">
        <v>3</v>
      </c>
      <c r="D3" s="35" t="s">
        <v>4</v>
      </c>
      <c r="E3" s="43" t="s">
        <v>58</v>
      </c>
      <c r="F3" s="43" t="s">
        <v>59</v>
      </c>
      <c r="G3" s="35" t="s">
        <v>5</v>
      </c>
      <c r="H3" s="35" t="s">
        <v>6</v>
      </c>
      <c r="I3" s="35" t="s">
        <v>7</v>
      </c>
      <c r="J3" s="43" t="s">
        <v>60</v>
      </c>
      <c r="K3" s="35" t="s">
        <v>8</v>
      </c>
      <c r="L3" s="35" t="s">
        <v>9</v>
      </c>
      <c r="M3" s="35" t="s">
        <v>10</v>
      </c>
      <c r="N3" s="35" t="s">
        <v>11</v>
      </c>
      <c r="O3" s="37" t="s">
        <v>12</v>
      </c>
    </row>
    <row r="4" spans="1:15">
      <c r="A4" s="40"/>
      <c r="B4" s="36"/>
      <c r="C4" s="36"/>
      <c r="D4" s="36"/>
      <c r="E4" s="44"/>
      <c r="F4" s="44"/>
      <c r="G4" s="36"/>
      <c r="H4" s="36"/>
      <c r="I4" s="36"/>
      <c r="J4" s="44"/>
      <c r="K4" s="36"/>
      <c r="L4" s="36"/>
      <c r="M4" s="36"/>
      <c r="N4" s="36"/>
      <c r="O4" s="38"/>
    </row>
    <row r="5" spans="1:15">
      <c r="A5" s="31" t="s">
        <v>13</v>
      </c>
      <c r="B5" s="3" t="s">
        <v>14</v>
      </c>
      <c r="C5" s="4">
        <v>46192</v>
      </c>
      <c r="D5" s="5">
        <v>14</v>
      </c>
      <c r="E5" s="5">
        <v>11</v>
      </c>
      <c r="F5" s="5">
        <f>D5-E5</f>
        <v>3</v>
      </c>
      <c r="G5" s="32">
        <v>9</v>
      </c>
      <c r="H5" s="6">
        <f>IF(G5=0,0,D5/G5)</f>
        <v>1.5555555555555556</v>
      </c>
      <c r="I5" s="33">
        <f>IF(G5=0,0,SUMPRODUCT(H5:H7,M5:M7)/(L5*2.52))</f>
        <v>1.2157157157157159</v>
      </c>
      <c r="J5" s="45">
        <v>1.4</v>
      </c>
      <c r="K5" s="34">
        <f>I5*L5*G5</f>
        <v>404.83333333333337</v>
      </c>
      <c r="L5" s="34">
        <v>37</v>
      </c>
      <c r="M5" s="5">
        <v>0.8</v>
      </c>
      <c r="N5" s="6">
        <f>2.52/M5*L5</f>
        <v>116.55</v>
      </c>
      <c r="O5" s="7">
        <f>G5*L5</f>
        <v>333</v>
      </c>
    </row>
    <row r="6" spans="1:15">
      <c r="A6" s="31"/>
      <c r="B6" s="3" t="s">
        <v>15</v>
      </c>
      <c r="C6" s="4">
        <v>46272</v>
      </c>
      <c r="D6" s="5">
        <v>1253</v>
      </c>
      <c r="E6" s="5">
        <v>1237</v>
      </c>
      <c r="F6" s="5">
        <f t="shared" ref="F6:F31" si="0">D6-E6</f>
        <v>16</v>
      </c>
      <c r="G6" s="32"/>
      <c r="H6" s="6">
        <f>IF(G5=0,0,D6/G5)</f>
        <v>139.22222222222223</v>
      </c>
      <c r="I6" s="33"/>
      <c r="J6" s="46"/>
      <c r="K6" s="34"/>
      <c r="L6" s="34"/>
      <c r="M6" s="5">
        <v>0.8</v>
      </c>
      <c r="N6" s="6">
        <f>2.52/M6*L5</f>
        <v>116.55</v>
      </c>
      <c r="O6" s="7"/>
    </row>
    <row r="7" spans="1:15">
      <c r="A7" s="31"/>
      <c r="B7" s="3" t="s">
        <v>16</v>
      </c>
      <c r="C7" s="4">
        <v>46279</v>
      </c>
      <c r="D7" s="5">
        <v>7</v>
      </c>
      <c r="E7" s="5">
        <v>7</v>
      </c>
      <c r="F7" s="5">
        <f t="shared" si="0"/>
        <v>0</v>
      </c>
      <c r="G7" s="32"/>
      <c r="H7" s="6">
        <f>IF(G5=0,0,D7/G5)</f>
        <v>0.77777777777777779</v>
      </c>
      <c r="I7" s="33"/>
      <c r="J7" s="47"/>
      <c r="K7" s="34"/>
      <c r="L7" s="34"/>
      <c r="M7" s="5">
        <v>0.94</v>
      </c>
      <c r="N7" s="6">
        <f>2.52/M7*L5</f>
        <v>99.191489361702125</v>
      </c>
      <c r="O7" s="7"/>
    </row>
    <row r="8" spans="1:15">
      <c r="A8" s="8" t="s">
        <v>17</v>
      </c>
      <c r="B8" s="3" t="s">
        <v>18</v>
      </c>
      <c r="C8" s="4">
        <v>46276</v>
      </c>
      <c r="D8" s="5">
        <v>640</v>
      </c>
      <c r="E8" s="5">
        <v>633</v>
      </c>
      <c r="F8" s="5">
        <f t="shared" si="0"/>
        <v>7</v>
      </c>
      <c r="G8" s="9">
        <v>8</v>
      </c>
      <c r="H8" s="6">
        <f>IF(G8=0,0,D8/G8)</f>
        <v>80</v>
      </c>
      <c r="I8" s="10">
        <f>IF(G8=0,0,SUMPRODUCT(H8:H8,M8:M8)/(L8*2.52))</f>
        <v>1.3179413179413182</v>
      </c>
      <c r="J8" s="10">
        <v>1.2</v>
      </c>
      <c r="K8" s="11">
        <f>I8*L8*G8</f>
        <v>347.93650793650801</v>
      </c>
      <c r="L8" s="11">
        <v>33</v>
      </c>
      <c r="M8" s="5">
        <v>1.37</v>
      </c>
      <c r="N8" s="6">
        <f>2.52/M8*L8</f>
        <v>60.700729927007302</v>
      </c>
      <c r="O8" s="7">
        <f>G8*L8</f>
        <v>264</v>
      </c>
    </row>
    <row r="9" spans="1:15">
      <c r="A9" s="8" t="s">
        <v>19</v>
      </c>
      <c r="B9" s="3" t="s">
        <v>20</v>
      </c>
      <c r="C9" s="4">
        <v>46245</v>
      </c>
      <c r="D9" s="5">
        <v>642</v>
      </c>
      <c r="E9" s="5">
        <v>632</v>
      </c>
      <c r="F9" s="5">
        <f t="shared" si="0"/>
        <v>10</v>
      </c>
      <c r="G9" s="9">
        <v>9</v>
      </c>
      <c r="H9" s="6">
        <f>IF(G9=0,0,D9/G9)</f>
        <v>71.333333333333329</v>
      </c>
      <c r="I9" s="10">
        <f>IF(G9=0,0,SUMPRODUCT(H9:H9,M9:M9)/(L9*2.52))</f>
        <v>1.3653906006847181</v>
      </c>
      <c r="J9" s="10">
        <v>1.64</v>
      </c>
      <c r="K9" s="11">
        <f>I9*L9*G9</f>
        <v>417.80952380952374</v>
      </c>
      <c r="L9" s="11">
        <v>34</v>
      </c>
      <c r="M9" s="5">
        <v>1.64</v>
      </c>
      <c r="N9" s="6">
        <f>2.52/M9*L9</f>
        <v>52.243902439024389</v>
      </c>
      <c r="O9" s="7">
        <f>G9*L9</f>
        <v>306</v>
      </c>
    </row>
    <row r="10" spans="1:15">
      <c r="A10" s="8" t="s">
        <v>21</v>
      </c>
      <c r="B10" s="3" t="s">
        <v>22</v>
      </c>
      <c r="C10" s="4">
        <v>46265</v>
      </c>
      <c r="D10" s="5">
        <v>1382</v>
      </c>
      <c r="E10" s="5">
        <v>1373</v>
      </c>
      <c r="F10" s="5">
        <f t="shared" si="0"/>
        <v>9</v>
      </c>
      <c r="G10" s="9">
        <v>9</v>
      </c>
      <c r="H10" s="6">
        <f>IF(G10=0,0,D10/G10)</f>
        <v>153.55555555555554</v>
      </c>
      <c r="I10" s="10">
        <f>IF(G10=0,0,SUMPRODUCT(H10:H10,M10:M10)/(L10*2.52))</f>
        <v>1.5592125739184561</v>
      </c>
      <c r="J10" s="10">
        <v>1.4</v>
      </c>
      <c r="K10" s="11">
        <f>I10*L10*G10</f>
        <v>477.11904761904754</v>
      </c>
      <c r="L10" s="11">
        <v>34</v>
      </c>
      <c r="M10" s="5">
        <v>0.87</v>
      </c>
      <c r="N10" s="6">
        <f>2.52/M10*L10</f>
        <v>98.482758620689651</v>
      </c>
      <c r="O10" s="7">
        <f>G10*L10</f>
        <v>306</v>
      </c>
    </row>
    <row r="11" spans="1:15">
      <c r="A11" s="31" t="s">
        <v>23</v>
      </c>
      <c r="B11" s="3" t="s">
        <v>24</v>
      </c>
      <c r="C11" s="4">
        <v>46213</v>
      </c>
      <c r="D11" s="5">
        <v>636</v>
      </c>
      <c r="E11" s="5">
        <v>636</v>
      </c>
      <c r="F11" s="5">
        <f t="shared" si="0"/>
        <v>0</v>
      </c>
      <c r="G11" s="32">
        <v>8</v>
      </c>
      <c r="H11" s="6">
        <f>IF(G11=0,0,D11/G11)</f>
        <v>79.5</v>
      </c>
      <c r="I11" s="33">
        <f>IF(G11=0,0,SUMPRODUCT(H11:H12,M11:M12)/(L11*2.52))</f>
        <v>1.9454365079365081</v>
      </c>
      <c r="J11" s="45">
        <v>2.1</v>
      </c>
      <c r="K11" s="34">
        <f>I11*L11*G11</f>
        <v>560.28571428571433</v>
      </c>
      <c r="L11" s="34">
        <v>36</v>
      </c>
      <c r="M11" s="5">
        <v>2.2200000000000002</v>
      </c>
      <c r="N11" s="6">
        <f>2.52/M11*L11</f>
        <v>40.864864864864863</v>
      </c>
      <c r="O11" s="7">
        <f>G11*L11</f>
        <v>288</v>
      </c>
    </row>
    <row r="12" spans="1:15">
      <c r="A12" s="31"/>
      <c r="B12" s="3" t="s">
        <v>24</v>
      </c>
      <c r="C12" s="4">
        <v>46213</v>
      </c>
      <c r="D12" s="5">
        <v>0</v>
      </c>
      <c r="E12" s="5">
        <v>0</v>
      </c>
      <c r="F12" s="5">
        <f t="shared" si="0"/>
        <v>0</v>
      </c>
      <c r="G12" s="32"/>
      <c r="H12" s="6">
        <f>IF(G11=0,0,D12/G11)</f>
        <v>0</v>
      </c>
      <c r="I12" s="33"/>
      <c r="J12" s="47"/>
      <c r="K12" s="34"/>
      <c r="L12" s="34"/>
      <c r="M12" s="5">
        <v>2.2999999999999998</v>
      </c>
      <c r="N12" s="6">
        <f>2.52/M12*L11</f>
        <v>39.443478260869568</v>
      </c>
      <c r="O12" s="7"/>
    </row>
    <row r="13" spans="1:15">
      <c r="A13" s="8" t="s">
        <v>25</v>
      </c>
      <c r="B13" s="3" t="s">
        <v>26</v>
      </c>
      <c r="C13" s="4">
        <v>46279</v>
      </c>
      <c r="D13" s="5">
        <v>28</v>
      </c>
      <c r="E13" s="5">
        <v>28</v>
      </c>
      <c r="F13" s="5">
        <f t="shared" si="0"/>
        <v>0</v>
      </c>
      <c r="G13" s="9">
        <v>8</v>
      </c>
      <c r="H13" s="6">
        <f>IF(G13=0,0,D13/G13)</f>
        <v>3.5</v>
      </c>
      <c r="I13" s="10">
        <f>IF(G13=0,0,SUMPRODUCT(H13:H13,M13:M13)/(L13*2.52))</f>
        <v>4.1666666666666671E-2</v>
      </c>
      <c r="J13" s="10">
        <v>1</v>
      </c>
      <c r="K13" s="11">
        <f>I13*L13*G13</f>
        <v>11.666666666666668</v>
      </c>
      <c r="L13" s="11">
        <v>35</v>
      </c>
      <c r="M13" s="5">
        <v>1.05</v>
      </c>
      <c r="N13" s="6">
        <f>2.52/M13*L13</f>
        <v>84</v>
      </c>
      <c r="O13" s="7">
        <f>G13*L13</f>
        <v>280</v>
      </c>
    </row>
    <row r="14" spans="1:15">
      <c r="A14" s="8" t="s">
        <v>27</v>
      </c>
      <c r="B14" s="3" t="s">
        <v>28</v>
      </c>
      <c r="C14" s="4">
        <v>46272</v>
      </c>
      <c r="D14" s="5">
        <v>1318</v>
      </c>
      <c r="E14" s="5">
        <v>1321</v>
      </c>
      <c r="F14" s="5">
        <f t="shared" si="0"/>
        <v>-3</v>
      </c>
      <c r="G14" s="9">
        <v>9</v>
      </c>
      <c r="H14" s="6">
        <f>IF(G14=0,0,D14/G14)</f>
        <v>146.44444444444446</v>
      </c>
      <c r="I14" s="10">
        <f>IF(G14=0,0,SUMPRODUCT(H14:H14,M14:M14)/(L14*2.52))</f>
        <v>1.2387218045112782</v>
      </c>
      <c r="J14" s="10">
        <v>1.3</v>
      </c>
      <c r="K14" s="11">
        <f>I14*L14*G14</f>
        <v>423.64285714285711</v>
      </c>
      <c r="L14" s="11">
        <v>38</v>
      </c>
      <c r="M14" s="5">
        <v>0.81</v>
      </c>
      <c r="N14" s="6">
        <f>2.52/M14*L14</f>
        <v>118.2222222222222</v>
      </c>
      <c r="O14" s="7">
        <f>G14*L14</f>
        <v>342</v>
      </c>
    </row>
    <row r="15" spans="1:15">
      <c r="A15" s="31" t="s">
        <v>29</v>
      </c>
      <c r="B15" s="3" t="s">
        <v>30</v>
      </c>
      <c r="C15" s="4"/>
      <c r="D15" s="5">
        <v>0</v>
      </c>
      <c r="E15" s="5">
        <v>0</v>
      </c>
      <c r="F15" s="5">
        <f t="shared" si="0"/>
        <v>0</v>
      </c>
      <c r="G15" s="32">
        <v>9</v>
      </c>
      <c r="H15" s="6">
        <f>IF(G15=0,0,D15/G15)</f>
        <v>0</v>
      </c>
      <c r="I15" s="33">
        <f>IF(G15=0,0,SUMPRODUCT(H15:H16,M15:M16)/(L15*2.52))</f>
        <v>0.59756515775034291</v>
      </c>
      <c r="J15" s="45">
        <v>1</v>
      </c>
      <c r="K15" s="34">
        <f>I15*L15*G15</f>
        <v>193.61111111111111</v>
      </c>
      <c r="L15" s="34">
        <v>36</v>
      </c>
      <c r="M15" s="5">
        <v>1.61</v>
      </c>
      <c r="N15" s="6">
        <f>2.52/M15*L15</f>
        <v>56.347826086956516</v>
      </c>
      <c r="O15" s="7">
        <f>G15*L15</f>
        <v>324</v>
      </c>
    </row>
    <row r="16" spans="1:15">
      <c r="A16" s="31"/>
      <c r="B16" s="3" t="s">
        <v>31</v>
      </c>
      <c r="C16" s="4">
        <v>46219</v>
      </c>
      <c r="D16" s="5">
        <v>574</v>
      </c>
      <c r="E16" s="5">
        <v>567</v>
      </c>
      <c r="F16" s="5">
        <f t="shared" si="0"/>
        <v>7</v>
      </c>
      <c r="G16" s="32"/>
      <c r="H16" s="6">
        <f>IF(G15=0,0,D16/G15)</f>
        <v>63.777777777777779</v>
      </c>
      <c r="I16" s="33"/>
      <c r="J16" s="47"/>
      <c r="K16" s="34"/>
      <c r="L16" s="34"/>
      <c r="M16" s="5">
        <v>0.85</v>
      </c>
      <c r="N16" s="6">
        <f>2.52/M16*L15</f>
        <v>106.72941176470589</v>
      </c>
      <c r="O16" s="7"/>
    </row>
    <row r="17" spans="1:15">
      <c r="A17" s="8" t="s">
        <v>32</v>
      </c>
      <c r="B17" s="3" t="s">
        <v>33</v>
      </c>
      <c r="C17" s="4">
        <v>46240</v>
      </c>
      <c r="D17" s="5">
        <v>650</v>
      </c>
      <c r="E17" s="5">
        <v>650</v>
      </c>
      <c r="F17" s="5">
        <f t="shared" si="0"/>
        <v>0</v>
      </c>
      <c r="G17" s="9">
        <v>9</v>
      </c>
      <c r="H17" s="6">
        <f>IF(G17=0,0,D17/G17)</f>
        <v>72.222222222222229</v>
      </c>
      <c r="I17" s="10">
        <f>IF(G17=0,0,SUMPRODUCT(H17:H17,M17:M17)/(L17*2.52))</f>
        <v>1.466697790227202</v>
      </c>
      <c r="J17" s="10">
        <v>1.5</v>
      </c>
      <c r="K17" s="11">
        <f>I17*L17*G17</f>
        <v>448.8095238095238</v>
      </c>
      <c r="L17" s="11">
        <v>34</v>
      </c>
      <c r="M17" s="5">
        <v>1.74</v>
      </c>
      <c r="N17" s="6">
        <f>2.52/M17*L17</f>
        <v>49.241379310344826</v>
      </c>
      <c r="O17" s="7">
        <f>G17*L17</f>
        <v>306</v>
      </c>
    </row>
    <row r="18" spans="1:15">
      <c r="A18" s="8" t="s">
        <v>34</v>
      </c>
      <c r="B18" s="3" t="s">
        <v>35</v>
      </c>
      <c r="C18" s="4">
        <v>46267</v>
      </c>
      <c r="D18" s="5">
        <v>1249</v>
      </c>
      <c r="E18" s="5">
        <v>1256</v>
      </c>
      <c r="F18" s="5">
        <f t="shared" si="0"/>
        <v>-7</v>
      </c>
      <c r="G18" s="9">
        <v>9</v>
      </c>
      <c r="H18" s="6">
        <f>IF(G18=0,0,D18/G18)</f>
        <v>138.77777777777777</v>
      </c>
      <c r="I18" s="10">
        <f>IF(G18=0,0,SUMPRODUCT(H18:H18,M18:M18)/(L18*2.52))</f>
        <v>1.2115520282186949</v>
      </c>
      <c r="J18" s="10">
        <v>1.3</v>
      </c>
      <c r="K18" s="11">
        <f>I18*L18*G18</f>
        <v>381.63888888888891</v>
      </c>
      <c r="L18" s="11">
        <v>35</v>
      </c>
      <c r="M18" s="5">
        <v>0.77</v>
      </c>
      <c r="N18" s="6">
        <f>2.52/M18*L18</f>
        <v>114.54545454545453</v>
      </c>
      <c r="O18" s="7">
        <f>G18*L18</f>
        <v>315</v>
      </c>
    </row>
    <row r="19" spans="1:15">
      <c r="A19" s="31" t="s">
        <v>36</v>
      </c>
      <c r="B19" s="3" t="s">
        <v>24</v>
      </c>
      <c r="C19" s="4">
        <v>46262</v>
      </c>
      <c r="D19" s="5">
        <v>16</v>
      </c>
      <c r="E19" s="5">
        <v>11</v>
      </c>
      <c r="F19" s="5">
        <f t="shared" si="0"/>
        <v>5</v>
      </c>
      <c r="G19" s="32">
        <v>8</v>
      </c>
      <c r="H19" s="6">
        <f>IF(G19=0,0,D19/G19)</f>
        <v>2</v>
      </c>
      <c r="I19" s="33">
        <f>IF(G19=0,0,SUMPRODUCT(H19:H20,M19:M20)/(L19*2.52))</f>
        <v>1.0966055341055343</v>
      </c>
      <c r="J19" s="45">
        <v>1</v>
      </c>
      <c r="K19" s="34">
        <f>I19*L19*G19</f>
        <v>324.59523809523813</v>
      </c>
      <c r="L19" s="34">
        <v>37</v>
      </c>
      <c r="M19" s="5">
        <v>2.2200000000000002</v>
      </c>
      <c r="N19" s="6">
        <f>2.52/M19*L19</f>
        <v>42</v>
      </c>
      <c r="O19" s="7">
        <f>G19*L19</f>
        <v>296</v>
      </c>
    </row>
    <row r="20" spans="1:15">
      <c r="A20" s="31"/>
      <c r="B20" s="3" t="s">
        <v>30</v>
      </c>
      <c r="C20" s="4">
        <v>46274</v>
      </c>
      <c r="D20" s="5">
        <v>486</v>
      </c>
      <c r="E20" s="5">
        <v>465</v>
      </c>
      <c r="F20" s="5">
        <f t="shared" si="0"/>
        <v>21</v>
      </c>
      <c r="G20" s="32"/>
      <c r="H20" s="6">
        <f>IF(G19=0,0,D20/G19)</f>
        <v>60.75</v>
      </c>
      <c r="I20" s="33"/>
      <c r="J20" s="47"/>
      <c r="K20" s="34"/>
      <c r="L20" s="34"/>
      <c r="M20" s="5">
        <v>1.61</v>
      </c>
      <c r="N20" s="6">
        <f>2.52/M20*L19</f>
        <v>57.91304347826086</v>
      </c>
      <c r="O20" s="7"/>
    </row>
    <row r="21" spans="1:15">
      <c r="A21" s="8" t="s">
        <v>37</v>
      </c>
      <c r="B21" s="3" t="s">
        <v>38</v>
      </c>
      <c r="C21" s="4">
        <v>46273</v>
      </c>
      <c r="D21" s="5">
        <v>665</v>
      </c>
      <c r="E21" s="5">
        <v>660</v>
      </c>
      <c r="F21" s="5">
        <f t="shared" si="0"/>
        <v>5</v>
      </c>
      <c r="G21" s="9">
        <v>9</v>
      </c>
      <c r="H21" s="6">
        <f>IF(G21=0,0,D21/G21)</f>
        <v>73.888888888888886</v>
      </c>
      <c r="I21" s="10">
        <f>IF(G21=0,0,SUMPRODUCT(H21:H21,M21:M21)/(L21*2.52))</f>
        <v>0.9172206394428617</v>
      </c>
      <c r="J21" s="10">
        <v>1.39</v>
      </c>
      <c r="K21" s="11">
        <f>I21*L21*G21</f>
        <v>321.94444444444446</v>
      </c>
      <c r="L21" s="11">
        <v>39</v>
      </c>
      <c r="M21" s="5">
        <v>1.22</v>
      </c>
      <c r="N21" s="6">
        <f>2.52/M21*L21</f>
        <v>80.557377049180332</v>
      </c>
      <c r="O21" s="7">
        <f>G21*L21</f>
        <v>351</v>
      </c>
    </row>
    <row r="22" spans="1:15">
      <c r="A22" s="8" t="s">
        <v>39</v>
      </c>
      <c r="B22" s="3" t="s">
        <v>22</v>
      </c>
      <c r="C22" s="4">
        <v>46255</v>
      </c>
      <c r="D22" s="5">
        <v>1595</v>
      </c>
      <c r="E22" s="5">
        <v>1592</v>
      </c>
      <c r="F22" s="5">
        <f t="shared" si="0"/>
        <v>3</v>
      </c>
      <c r="G22" s="9">
        <v>9</v>
      </c>
      <c r="H22" s="6">
        <f>IF(G22=0,0,D22/G22)</f>
        <v>177.22222222222223</v>
      </c>
      <c r="I22" s="10">
        <f>IF(G22=0,0,SUMPRODUCT(H22:H22,M22:M22)/(L22*2.52))</f>
        <v>1.5688169854836522</v>
      </c>
      <c r="J22" s="10">
        <v>1.5</v>
      </c>
      <c r="K22" s="11">
        <f>I22*L22*G22</f>
        <v>550.65476190476193</v>
      </c>
      <c r="L22" s="11">
        <v>39</v>
      </c>
      <c r="M22" s="5">
        <v>0.87</v>
      </c>
      <c r="N22" s="6">
        <f>2.52/M22*L22</f>
        <v>112.96551724137932</v>
      </c>
      <c r="O22" s="7">
        <f>G22*L22</f>
        <v>351</v>
      </c>
    </row>
    <row r="23" spans="1:15">
      <c r="A23" s="31" t="s">
        <v>40</v>
      </c>
      <c r="B23" s="3" t="s">
        <v>41</v>
      </c>
      <c r="C23" s="4">
        <v>46192</v>
      </c>
      <c r="D23" s="5">
        <v>37</v>
      </c>
      <c r="E23" s="5">
        <v>37</v>
      </c>
      <c r="F23" s="5">
        <f t="shared" si="0"/>
        <v>0</v>
      </c>
      <c r="G23" s="32">
        <v>9</v>
      </c>
      <c r="H23" s="6">
        <f>IF(G23=0,0,D23/G23)</f>
        <v>4.1111111111111107</v>
      </c>
      <c r="I23" s="33">
        <f>IF(G23=0,0,SUMPRODUCT(H23:H24,M23:M24)/(L23*2.52))</f>
        <v>1.3386011324607818</v>
      </c>
      <c r="J23" s="45">
        <v>1.9</v>
      </c>
      <c r="K23" s="34">
        <f>I23*L23*G23</f>
        <v>457.8015873015874</v>
      </c>
      <c r="L23" s="34">
        <v>38</v>
      </c>
      <c r="M23" s="5">
        <v>1.28</v>
      </c>
      <c r="N23" s="6">
        <f>2.52/M23*L23</f>
        <v>74.8125</v>
      </c>
      <c r="O23" s="7">
        <f>G23*L23</f>
        <v>342</v>
      </c>
    </row>
    <row r="24" spans="1:15">
      <c r="A24" s="31"/>
      <c r="B24" s="3" t="s">
        <v>42</v>
      </c>
      <c r="C24" s="4">
        <v>46209</v>
      </c>
      <c r="D24" s="5">
        <v>851</v>
      </c>
      <c r="E24" s="5">
        <v>851</v>
      </c>
      <c r="F24" s="5">
        <f t="shared" si="0"/>
        <v>0</v>
      </c>
      <c r="G24" s="32"/>
      <c r="H24" s="6">
        <f>IF(G23=0,0,D24/G23)</f>
        <v>94.555555555555557</v>
      </c>
      <c r="I24" s="33"/>
      <c r="J24" s="47"/>
      <c r="K24" s="34"/>
      <c r="L24" s="34"/>
      <c r="M24" s="5">
        <v>1.3</v>
      </c>
      <c r="N24" s="6">
        <f>2.52/M24*L23</f>
        <v>73.661538461538456</v>
      </c>
      <c r="O24" s="7"/>
    </row>
    <row r="25" spans="1:15">
      <c r="A25" s="31" t="s">
        <v>43</v>
      </c>
      <c r="B25" s="3" t="s">
        <v>44</v>
      </c>
      <c r="C25" s="4">
        <v>46209</v>
      </c>
      <c r="D25" s="5">
        <v>8</v>
      </c>
      <c r="E25" s="5">
        <v>8</v>
      </c>
      <c r="F25" s="5">
        <f t="shared" si="0"/>
        <v>0</v>
      </c>
      <c r="G25" s="32">
        <v>8</v>
      </c>
      <c r="H25" s="6">
        <f>IF(G25=0,0,D25/G25)</f>
        <v>1</v>
      </c>
      <c r="I25" s="33">
        <f>IF(G25=0,0,SUMPRODUCT(H25:H26,M25:M26)/(L25*2.52))</f>
        <v>1.2007722007722008</v>
      </c>
      <c r="J25" s="45">
        <v>1.5</v>
      </c>
      <c r="K25" s="34">
        <f>I25*L25*G25</f>
        <v>355.42857142857144</v>
      </c>
      <c r="L25" s="34">
        <v>37</v>
      </c>
      <c r="M25" s="5">
        <v>0.87</v>
      </c>
      <c r="N25" s="6">
        <f>2.52/M25*L25</f>
        <v>107.17241379310344</v>
      </c>
      <c r="O25" s="7">
        <f>G25*L25</f>
        <v>296</v>
      </c>
    </row>
    <row r="26" spans="1:15">
      <c r="A26" s="31"/>
      <c r="B26" s="3" t="s">
        <v>30</v>
      </c>
      <c r="C26" s="4">
        <v>46275</v>
      </c>
      <c r="D26" s="5">
        <v>552</v>
      </c>
      <c r="E26" s="5">
        <v>552</v>
      </c>
      <c r="F26" s="5">
        <f t="shared" si="0"/>
        <v>0</v>
      </c>
      <c r="G26" s="32"/>
      <c r="H26" s="6">
        <f>IF(G25=0,0,D26/G25)</f>
        <v>69</v>
      </c>
      <c r="I26" s="33"/>
      <c r="J26" s="47"/>
      <c r="K26" s="34"/>
      <c r="L26" s="34"/>
      <c r="M26" s="5">
        <v>1.61</v>
      </c>
      <c r="N26" s="6">
        <f>2.52/M26*L25</f>
        <v>57.91304347826086</v>
      </c>
      <c r="O26" s="7"/>
    </row>
    <row r="27" spans="1:15">
      <c r="A27" s="8" t="s">
        <v>45</v>
      </c>
      <c r="B27" s="3" t="s">
        <v>46</v>
      </c>
      <c r="C27" s="4">
        <v>46253</v>
      </c>
      <c r="D27" s="5">
        <v>1800</v>
      </c>
      <c r="E27" s="5">
        <v>1800</v>
      </c>
      <c r="F27" s="5">
        <f t="shared" si="0"/>
        <v>0</v>
      </c>
      <c r="G27" s="9">
        <v>9</v>
      </c>
      <c r="H27" s="6">
        <f>IF(G27=0,0,D27/G27)</f>
        <v>200</v>
      </c>
      <c r="I27" s="10">
        <f>IF(G27=0,0,SUMPRODUCT(H27:H27,M27:M27)/(L27*2.52))</f>
        <v>1.6945516945516947</v>
      </c>
      <c r="J27" s="10">
        <v>1.7</v>
      </c>
      <c r="K27" s="11">
        <f>I27*L27*G27</f>
        <v>564.28571428571433</v>
      </c>
      <c r="L27" s="11">
        <v>37</v>
      </c>
      <c r="M27" s="5">
        <v>0.79</v>
      </c>
      <c r="N27" s="6">
        <f>2.52/M27*L27</f>
        <v>118.02531645569618</v>
      </c>
      <c r="O27" s="7">
        <f>G27*L27</f>
        <v>333</v>
      </c>
    </row>
    <row r="28" spans="1:15">
      <c r="A28" s="8" t="s">
        <v>47</v>
      </c>
      <c r="B28" s="3" t="s">
        <v>24</v>
      </c>
      <c r="C28" s="4">
        <v>46155</v>
      </c>
      <c r="D28" s="5">
        <v>59</v>
      </c>
      <c r="E28" s="5">
        <v>59</v>
      </c>
      <c r="F28" s="5">
        <f t="shared" si="0"/>
        <v>0</v>
      </c>
      <c r="G28" s="9">
        <v>8</v>
      </c>
      <c r="H28" s="6">
        <f>IF(G28=0,0,D28/G28)</f>
        <v>7.375</v>
      </c>
      <c r="I28" s="10">
        <f>IF(G28=0,0,SUMPRODUCT(H28:H28,M28:M28)/(L28*2.52))</f>
        <v>0.16659035409035411</v>
      </c>
      <c r="J28" s="10">
        <v>1.68</v>
      </c>
      <c r="K28" s="11">
        <f>I28*L28*G28</f>
        <v>51.976190476190482</v>
      </c>
      <c r="L28" s="11">
        <v>39</v>
      </c>
      <c r="M28" s="5">
        <v>2.2200000000000002</v>
      </c>
      <c r="N28" s="6">
        <f>2.52/M28*L28</f>
        <v>44.270270270270267</v>
      </c>
      <c r="O28" s="7">
        <f>G28*L28</f>
        <v>312</v>
      </c>
    </row>
    <row r="29" spans="1:15">
      <c r="A29" s="8" t="s">
        <v>48</v>
      </c>
      <c r="B29" s="3" t="s">
        <v>28</v>
      </c>
      <c r="C29" s="4">
        <v>46268</v>
      </c>
      <c r="D29" s="5">
        <v>1148</v>
      </c>
      <c r="E29" s="5">
        <v>1143</v>
      </c>
      <c r="F29" s="5">
        <f t="shared" si="0"/>
        <v>5</v>
      </c>
      <c r="G29" s="9">
        <v>9</v>
      </c>
      <c r="H29" s="6">
        <f>IF(G29=0,0,D29/G29)</f>
        <v>127.55555555555556</v>
      </c>
      <c r="I29" s="10">
        <f>IF(G29=0,0,SUMPRODUCT(H29:H29,M29:M29)/(L29*2.52))</f>
        <v>1.2424242424242427</v>
      </c>
      <c r="J29" s="10">
        <v>1.22</v>
      </c>
      <c r="K29" s="11">
        <f>I29*L29*G29</f>
        <v>369.00000000000006</v>
      </c>
      <c r="L29" s="11">
        <v>33</v>
      </c>
      <c r="M29" s="5">
        <v>0.81</v>
      </c>
      <c r="N29" s="6">
        <f>2.52/M29*L29</f>
        <v>102.66666666666666</v>
      </c>
      <c r="O29" s="7">
        <f>G29*L29</f>
        <v>297</v>
      </c>
    </row>
    <row r="30" spans="1:15">
      <c r="A30" s="8" t="s">
        <v>49</v>
      </c>
      <c r="B30" s="3" t="s">
        <v>15</v>
      </c>
      <c r="C30" s="4">
        <v>46274</v>
      </c>
      <c r="D30" s="5">
        <v>1485</v>
      </c>
      <c r="E30" s="5">
        <v>1485</v>
      </c>
      <c r="F30" s="5">
        <f t="shared" si="0"/>
        <v>0</v>
      </c>
      <c r="G30" s="9">
        <v>9</v>
      </c>
      <c r="H30" s="6">
        <f>IF(G30=0,0,D30/G30)</f>
        <v>165</v>
      </c>
      <c r="I30" s="10">
        <f>IF(G30=0,0,SUMPRODUCT(H30:H30,M30:M30)/(L30*2.52))</f>
        <v>1.3784461152882206</v>
      </c>
      <c r="J30" s="10">
        <v>1.4</v>
      </c>
      <c r="K30" s="11">
        <f>I30*L30*G30</f>
        <v>471.42857142857144</v>
      </c>
      <c r="L30" s="11">
        <v>38</v>
      </c>
      <c r="M30" s="5">
        <v>0.8</v>
      </c>
      <c r="N30" s="6">
        <f>2.52/M30*L30</f>
        <v>119.7</v>
      </c>
      <c r="O30" s="7">
        <f>G30*L30</f>
        <v>342</v>
      </c>
    </row>
    <row r="31" spans="1:15">
      <c r="A31" s="8" t="s">
        <v>50</v>
      </c>
      <c r="B31" s="3" t="s">
        <v>51</v>
      </c>
      <c r="C31" s="4">
        <v>46272</v>
      </c>
      <c r="D31" s="5">
        <v>695</v>
      </c>
      <c r="E31" s="5">
        <v>704</v>
      </c>
      <c r="F31" s="5">
        <f t="shared" si="0"/>
        <v>-9</v>
      </c>
      <c r="G31" s="9">
        <v>9</v>
      </c>
      <c r="H31" s="6">
        <f>IF(G31=0,0,D31/G31)</f>
        <v>77.222222222222229</v>
      </c>
      <c r="I31" s="10">
        <f>IF(G31=0,0,SUMPRODUCT(H31:H31,M31:M31)/(L31*2.52))</f>
        <v>1.0912160708908676</v>
      </c>
      <c r="J31" s="10">
        <v>1</v>
      </c>
      <c r="K31" s="11">
        <f>I31*L31*G31</f>
        <v>402.65873015873012</v>
      </c>
      <c r="L31" s="11">
        <v>41</v>
      </c>
      <c r="M31" s="5">
        <v>1.46</v>
      </c>
      <c r="N31" s="6">
        <f>2.52/M31*L31</f>
        <v>70.767123287671239</v>
      </c>
      <c r="O31" s="7">
        <f>G31*L31</f>
        <v>369</v>
      </c>
    </row>
    <row r="32" spans="1:15">
      <c r="A32" s="25" t="s">
        <v>52</v>
      </c>
      <c r="B32" s="26"/>
      <c r="C32" s="27"/>
      <c r="D32" s="12">
        <f>SUM(D5:D31)</f>
        <v>17790</v>
      </c>
      <c r="E32" s="12">
        <f>SUM(E5:E31)</f>
        <v>17718</v>
      </c>
      <c r="F32" s="12">
        <f>F14+F18+F31</f>
        <v>-19</v>
      </c>
      <c r="G32" s="13">
        <f>SUM(G5:G31)</f>
        <v>174</v>
      </c>
      <c r="H32" s="14"/>
      <c r="I32" s="15">
        <f>SUM(K5:K31)/O32</f>
        <v>1.1863886327919071</v>
      </c>
      <c r="J32" s="15"/>
      <c r="K32" s="12"/>
      <c r="L32" s="12">
        <f>SUM(L5:L31)</f>
        <v>730</v>
      </c>
      <c r="M32" s="12"/>
      <c r="N32" s="14"/>
      <c r="O32" s="16">
        <f>SUM(O5:O31)</f>
        <v>6353</v>
      </c>
    </row>
    <row r="33" spans="1:15">
      <c r="A33" s="17"/>
      <c r="B33" s="5"/>
      <c r="C33" s="4"/>
      <c r="D33" s="5"/>
      <c r="E33" s="5"/>
      <c r="F33" s="5"/>
      <c r="G33" s="18"/>
      <c r="H33" s="6"/>
      <c r="I33" s="19"/>
      <c r="J33" s="19"/>
      <c r="K33" s="5"/>
      <c r="L33" s="5"/>
      <c r="M33" s="5"/>
      <c r="N33" s="6"/>
      <c r="O33" s="7"/>
    </row>
    <row r="34" spans="1:15" ht="13.5" thickBot="1">
      <c r="A34" s="28" t="s">
        <v>53</v>
      </c>
      <c r="B34" s="29"/>
      <c r="C34" s="30"/>
      <c r="D34" s="20">
        <f>SUMIF(A5:A33, "&lt;&gt;Summary", D5:D33)</f>
        <v>17790</v>
      </c>
      <c r="E34" s="20"/>
      <c r="F34" s="20"/>
      <c r="G34" s="21">
        <f>SUMIF(A5:A33, "&lt;&gt;Summary", G5:G33)</f>
        <v>174</v>
      </c>
      <c r="H34" s="22"/>
      <c r="I34" s="23">
        <f>SUMIF(A5:A33, "&lt;&gt;Summary", K5:K33)/O34</f>
        <v>1.1863886327919071</v>
      </c>
      <c r="J34" s="23"/>
      <c r="K34" s="20"/>
      <c r="L34" s="20">
        <f>SUMIF(A5:A33, "&lt;&gt;Summary", L5:L33)</f>
        <v>730</v>
      </c>
      <c r="M34" s="20"/>
      <c r="N34" s="22"/>
      <c r="O34" s="24">
        <f>SUMIF(A5:A33, "&lt;&gt;Summary", O5:O33)</f>
        <v>6353</v>
      </c>
    </row>
    <row r="35" spans="1:15" ht="13.5" thickTop="1"/>
    <row r="36" spans="1:15">
      <c r="C36" s="41" t="s">
        <v>54</v>
      </c>
      <c r="D36" s="42">
        <f>SUM(K5:K12)/SUM(O5:O12)</f>
        <v>1.4749392965825834</v>
      </c>
      <c r="E36" s="42"/>
      <c r="F36" s="42"/>
    </row>
    <row r="37" spans="1:15">
      <c r="C37" s="41" t="s">
        <v>55</v>
      </c>
      <c r="D37" s="42">
        <f>SUM(K13:K18)/SUM(O13:O18)</f>
        <v>0.93131400613851156</v>
      </c>
      <c r="E37" s="42"/>
      <c r="F37" s="42"/>
    </row>
    <row r="38" spans="1:15">
      <c r="C38" s="41" t="s">
        <v>56</v>
      </c>
      <c r="D38" s="42">
        <f>SUM(K19:K26)/SUM(O19:O26)</f>
        <v>1.2288658943610045</v>
      </c>
      <c r="E38" s="42"/>
      <c r="F38" s="42"/>
    </row>
    <row r="39" spans="1:15">
      <c r="C39" s="41" t="s">
        <v>57</v>
      </c>
      <c r="D39" s="42">
        <f>SUM(K27:K31)/SUM(O27:O31)</f>
        <v>1.1248331556861502</v>
      </c>
      <c r="E39" s="42"/>
      <c r="F39" s="42"/>
    </row>
  </sheetData>
  <mergeCells count="53">
    <mergeCell ref="O3:O4"/>
    <mergeCell ref="A3:A4"/>
    <mergeCell ref="B3:B4"/>
    <mergeCell ref="C3:C4"/>
    <mergeCell ref="D3:D4"/>
    <mergeCell ref="G3:G4"/>
    <mergeCell ref="H3:H4"/>
    <mergeCell ref="E3:E4"/>
    <mergeCell ref="F3:F4"/>
    <mergeCell ref="J3:J4"/>
    <mergeCell ref="I3:I4"/>
    <mergeCell ref="K3:K4"/>
    <mergeCell ref="L3:L4"/>
    <mergeCell ref="M3:M4"/>
    <mergeCell ref="N3:N4"/>
    <mergeCell ref="A11:A12"/>
    <mergeCell ref="G11:G12"/>
    <mergeCell ref="I11:I12"/>
    <mergeCell ref="K11:K12"/>
    <mergeCell ref="L11:L12"/>
    <mergeCell ref="J11:J12"/>
    <mergeCell ref="A5:A7"/>
    <mergeCell ref="G5:G7"/>
    <mergeCell ref="I5:I7"/>
    <mergeCell ref="K5:K7"/>
    <mergeCell ref="L5:L7"/>
    <mergeCell ref="J5:J7"/>
    <mergeCell ref="A19:A20"/>
    <mergeCell ref="G19:G20"/>
    <mergeCell ref="I19:I20"/>
    <mergeCell ref="K19:K20"/>
    <mergeCell ref="L19:L20"/>
    <mergeCell ref="J19:J20"/>
    <mergeCell ref="A15:A16"/>
    <mergeCell ref="G15:G16"/>
    <mergeCell ref="I15:I16"/>
    <mergeCell ref="K15:K16"/>
    <mergeCell ref="L15:L16"/>
    <mergeCell ref="J15:J16"/>
    <mergeCell ref="K23:K24"/>
    <mergeCell ref="L23:L24"/>
    <mergeCell ref="A25:A26"/>
    <mergeCell ref="G25:G26"/>
    <mergeCell ref="I25:I26"/>
    <mergeCell ref="K25:K26"/>
    <mergeCell ref="L25:L26"/>
    <mergeCell ref="J23:J24"/>
    <mergeCell ref="J25:J26"/>
    <mergeCell ref="A32:C32"/>
    <mergeCell ref="A34:C34"/>
    <mergeCell ref="A23:A24"/>
    <mergeCell ref="G23:G24"/>
    <mergeCell ref="I23:I24"/>
  </mergeCells>
  <printOptions horizontalCentered="1"/>
  <pageMargins left="0.2" right="0.2" top="1" bottom="0.2" header="0.2" footer="0.2"/>
  <pageSetup paperSize="9" scale="70" orientation="portrait" horizontalDpi="203" verticalDpi="203" r:id="rId1"/>
  <headerFooter>
    <oddHeader>&amp;C&amp;16PT GLORY DEMAK INDONESIA&amp;20
TARGET PER HARI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TargetPerHari</vt:lpstr>
      <vt:lpstr>Sheet2</vt:lpstr>
      <vt:lpstr>Sheet3</vt:lpstr>
      <vt:lpstr>TargetPerHari!Print_Titles</vt:lpstr>
    </vt:vector>
  </TitlesOfParts>
  <Company>Grizli777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GLD5 ADMBarcode ( Indonesia, GLD5 )</dc:creator>
  <cp:lastModifiedBy>GLD5 ADMBarcode ( Indonesia, GLD5 )</cp:lastModifiedBy>
  <cp:lastPrinted>2026-09-15T00:50:14Z</cp:lastPrinted>
  <dcterms:created xsi:type="dcterms:W3CDTF">2026-09-15T00:37:36Z</dcterms:created>
  <dcterms:modified xsi:type="dcterms:W3CDTF">2026-09-15T00:53:02Z</dcterms:modified>
</cp:coreProperties>
</file>