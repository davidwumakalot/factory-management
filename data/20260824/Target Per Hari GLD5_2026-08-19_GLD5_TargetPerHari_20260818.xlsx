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1" i="1"/>
  <c r="E31"/>
  <c r="D31"/>
  <c r="I29"/>
  <c r="E29"/>
  <c r="D29"/>
  <c r="L26"/>
  <c r="K28"/>
  <c r="F28"/>
  <c r="K27"/>
  <c r="F27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G22"/>
  <c r="H22" s="1"/>
  <c r="K22"/>
  <c r="F22"/>
  <c r="L21"/>
  <c r="G21"/>
  <c r="H21" s="1"/>
  <c r="K21"/>
  <c r="F21"/>
  <c r="L19"/>
  <c r="K20"/>
  <c r="F20"/>
  <c r="K19"/>
  <c r="F19"/>
  <c r="G19" s="1"/>
  <c r="H19" s="1"/>
  <c r="L18"/>
  <c r="K18"/>
  <c r="F18"/>
  <c r="G18" s="1"/>
  <c r="H18" s="1"/>
  <c r="L17"/>
  <c r="K17"/>
  <c r="F17"/>
  <c r="G17" s="1"/>
  <c r="H17" s="1"/>
  <c r="L16"/>
  <c r="K16"/>
  <c r="F16"/>
  <c r="G16" s="1"/>
  <c r="H16" s="1"/>
  <c r="L15"/>
  <c r="G15"/>
  <c r="H15" s="1"/>
  <c r="K15"/>
  <c r="F15"/>
  <c r="L14"/>
  <c r="G14"/>
  <c r="H14" s="1"/>
  <c r="K14"/>
  <c r="F14"/>
  <c r="L13"/>
  <c r="K13"/>
  <c r="F13"/>
  <c r="G13" s="1"/>
  <c r="H13" s="1"/>
  <c r="L12"/>
  <c r="K12"/>
  <c r="F12"/>
  <c r="G12" s="1"/>
  <c r="H12" s="1"/>
  <c r="L10"/>
  <c r="K11"/>
  <c r="F11"/>
  <c r="K10"/>
  <c r="F10"/>
  <c r="G10" s="1"/>
  <c r="H10" s="1"/>
  <c r="L9"/>
  <c r="K9"/>
  <c r="F9"/>
  <c r="G9" s="1"/>
  <c r="H9" s="1"/>
  <c r="L8"/>
  <c r="K8"/>
  <c r="F8"/>
  <c r="G8" s="1"/>
  <c r="H8" s="1"/>
  <c r="L7"/>
  <c r="K7"/>
  <c r="F7"/>
  <c r="G7" s="1"/>
  <c r="H7" s="1"/>
  <c r="L6"/>
  <c r="K6"/>
  <c r="F6"/>
  <c r="G6" s="1"/>
  <c r="H6" s="1"/>
  <c r="L5"/>
  <c r="L31" s="1"/>
  <c r="K5"/>
  <c r="F5"/>
  <c r="G5" s="1"/>
  <c r="H5" s="1"/>
  <c r="G31" l="1"/>
  <c r="D34"/>
  <c r="D36"/>
  <c r="D33"/>
  <c r="D35"/>
  <c r="L29"/>
  <c r="G29" s="1"/>
</calcChain>
</file>

<file path=xl/sharedStrings.xml><?xml version="1.0" encoding="utf-8"?>
<sst xmlns="http://schemas.openxmlformats.org/spreadsheetml/2006/main" count="63" uniqueCount="52">
  <si>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</si>
  <si>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</si>
  <si>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</si>
  <si>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</si>
  <si>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</si>
  <si>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</si>
  <si>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</si>
  <si>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</si>
  <si>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</si>
  <si>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</si>
  <si>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</si>
  <si>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</si>
  <si>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</si>
  <si>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</si>
  <si>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</si>
  <si>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</si>
  <si>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</si>
  <si>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</si>
  <si>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</si>
  <si>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</si>
  <si>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</si>
  <si>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</si>
  <si>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</si>
  <si>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</si>
  <si>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</si>
  <si>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</si>
  <si>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</si>
  <si>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</si>
  <si>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</si>
  <si>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</si>
  <si>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</si>
  <si>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</si>
  <si>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</si>
  <si>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</si>
  <si>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</si>
  <si>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</si>
  <si>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</si>
  <si>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</si>
  <si>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</si>
  <si>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</si>
  <si>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</si>
  <si>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</si>
  <si>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</si>
  <si>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MAX233402_Q127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</si>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</sst>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>
      <pane ySplit="4" topLeftCell="A5" activePane="bottomLeft" state="frozen"/>
      <selection pane="bottomLeft" activeCell="J12" sqref="J1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6" width="8.7109375" style="1" customWidth="1"/>
    <col min="7" max="7" width="10.5703125" style="1" customWidth="1"/>
    <col min="8" max="8" width="8.7109375" style="1" customWidth="1"/>
    <col min="9" max="16384" width="9.140625" style="1"/>
  </cols>
  <sheetData>
    <row r="1" spans="1:12">
      <c r="A1" s="1" t="s">
        <v>0</v>
      </c>
      <c r="B1" s="2">
        <v>46252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" t="s">
        <v>13</v>
      </c>
      <c r="B5" s="4" t="s">
        <v>14</v>
      </c>
      <c r="C5" s="5">
        <v>46238</v>
      </c>
      <c r="D5" s="6">
        <v>1332</v>
      </c>
      <c r="E5" s="7">
        <v>8</v>
      </c>
      <c r="F5" s="8">
        <f>IF(E5=0,0,D5/E5)</f>
        <v>166.5</v>
      </c>
      <c r="G5" s="9">
        <f>IF(E5=0,0,SUMPRODUCT(F5:F5,J5:J5)/(I5*2.52))</f>
        <v>1.5535714285714286</v>
      </c>
      <c r="H5" s="10">
        <f t="shared" ref="H5:H10" si="0">G5*I5*E5</f>
        <v>459.85714285714289</v>
      </c>
      <c r="I5" s="10">
        <v>37</v>
      </c>
      <c r="J5" s="6">
        <v>0.87</v>
      </c>
      <c r="K5" s="8">
        <f t="shared" ref="K5:K10" si="1">2.52/J5*I5</f>
        <v>107.17241379310344</v>
      </c>
      <c r="L5" s="11">
        <f t="shared" ref="L5:L10" si="2">E5*I5</f>
        <v>296</v>
      </c>
    </row>
    <row r="6" spans="1:12">
      <c r="A6" s="3" t="s">
        <v>15</v>
      </c>
      <c r="B6" s="4" t="s">
        <v>14</v>
      </c>
      <c r="C6" s="5">
        <v>46198</v>
      </c>
      <c r="D6" s="6">
        <v>1594</v>
      </c>
      <c r="E6" s="7">
        <v>8</v>
      </c>
      <c r="F6" s="8">
        <f>IF(E6=0,0,D6/E6)</f>
        <v>199.25</v>
      </c>
      <c r="G6" s="9">
        <f>IF(E6=0,0,SUMPRODUCT(F6:F6,J6:J6)/(I6*2.52))</f>
        <v>1.965391156462585</v>
      </c>
      <c r="H6" s="10">
        <f t="shared" si="0"/>
        <v>550.30952380952385</v>
      </c>
      <c r="I6" s="10">
        <v>35</v>
      </c>
      <c r="J6" s="6">
        <v>0.87</v>
      </c>
      <c r="K6" s="8">
        <f t="shared" si="1"/>
        <v>101.37931034482759</v>
      </c>
      <c r="L6" s="11">
        <f t="shared" si="2"/>
        <v>280</v>
      </c>
    </row>
    <row r="7" spans="1:12">
      <c r="A7" s="3" t="s">
        <v>16</v>
      </c>
      <c r="B7" s="4" t="s">
        <v>17</v>
      </c>
      <c r="C7" s="5">
        <v>46245</v>
      </c>
      <c r="D7" s="6">
        <v>548</v>
      </c>
      <c r="E7" s="7">
        <v>8</v>
      </c>
      <c r="F7" s="8">
        <f>IF(E7=0,0,D7/E7)</f>
        <v>68.5</v>
      </c>
      <c r="G7" s="9">
        <f>IF(E7=0,0,SUMPRODUCT(F7:F7,J7:J7)/(I7*2.52))</f>
        <v>1.2048477048477049</v>
      </c>
      <c r="H7" s="10">
        <f t="shared" si="0"/>
        <v>356.63492063492066</v>
      </c>
      <c r="I7" s="10">
        <v>37</v>
      </c>
      <c r="J7" s="6">
        <v>1.64</v>
      </c>
      <c r="K7" s="8">
        <f t="shared" si="1"/>
        <v>56.853658536585364</v>
      </c>
      <c r="L7" s="11">
        <f t="shared" si="2"/>
        <v>296</v>
      </c>
    </row>
    <row r="8" spans="1:12">
      <c r="A8" s="3" t="s">
        <v>18</v>
      </c>
      <c r="B8" s="4" t="s">
        <v>14</v>
      </c>
      <c r="C8" s="5">
        <v>46219</v>
      </c>
      <c r="D8" s="6">
        <v>1712</v>
      </c>
      <c r="E8" s="7">
        <v>8</v>
      </c>
      <c r="F8" s="8">
        <f>IF(E8=0,0,D8/E8)</f>
        <v>214</v>
      </c>
      <c r="G8" s="9">
        <f>IF(E8=0,0,SUMPRODUCT(F8:F8,J8:J8)/(I8*2.52))</f>
        <v>2.0522486772486772</v>
      </c>
      <c r="H8" s="10">
        <f t="shared" si="0"/>
        <v>591.04761904761904</v>
      </c>
      <c r="I8" s="10">
        <v>36</v>
      </c>
      <c r="J8" s="6">
        <v>0.87</v>
      </c>
      <c r="K8" s="8">
        <f t="shared" si="1"/>
        <v>104.27586206896552</v>
      </c>
      <c r="L8" s="11">
        <f t="shared" si="2"/>
        <v>288</v>
      </c>
    </row>
    <row r="9" spans="1:12">
      <c r="A9" s="3" t="s">
        <v>19</v>
      </c>
      <c r="B9" s="4" t="s">
        <v>20</v>
      </c>
      <c r="C9" s="5">
        <v>46213</v>
      </c>
      <c r="D9" s="6">
        <v>730</v>
      </c>
      <c r="E9" s="7">
        <v>8</v>
      </c>
      <c r="F9" s="8">
        <f>IF(E9=0,0,D9/E9)</f>
        <v>91.25</v>
      </c>
      <c r="G9" s="9">
        <f>IF(E9=0,0,SUMPRODUCT(F9:F9,J9:J9)/(I9*2.52))</f>
        <v>2.0096726190476191</v>
      </c>
      <c r="H9" s="10">
        <f t="shared" si="0"/>
        <v>643.09523809523807</v>
      </c>
      <c r="I9" s="10">
        <v>40</v>
      </c>
      <c r="J9" s="6">
        <v>2.2200000000000002</v>
      </c>
      <c r="K9" s="8">
        <f t="shared" si="1"/>
        <v>45.405405405405403</v>
      </c>
      <c r="L9" s="11">
        <f t="shared" si="2"/>
        <v>320</v>
      </c>
    </row>
    <row r="10" spans="1:12">
      <c r="A10" s="37" t="s">
        <v>21</v>
      </c>
      <c r="B10" s="4" t="s">
        <v>20</v>
      </c>
      <c r="C10" s="5">
        <v>46207</v>
      </c>
      <c r="D10" s="6">
        <v>368</v>
      </c>
      <c r="E10" s="38">
        <v>8</v>
      </c>
      <c r="F10" s="8">
        <f>IF(E10=0,0,D10/E10)</f>
        <v>46</v>
      </c>
      <c r="G10" s="39">
        <f>IF(E10=0,0,SUMPRODUCT(F10:F11,J10:J11)/(I10*2.52))</f>
        <v>2.17752574002574</v>
      </c>
      <c r="H10" s="33">
        <f t="shared" si="0"/>
        <v>644.54761904761904</v>
      </c>
      <c r="I10" s="33">
        <v>37</v>
      </c>
      <c r="J10" s="6">
        <v>2.2200000000000002</v>
      </c>
      <c r="K10" s="8">
        <f t="shared" si="1"/>
        <v>42</v>
      </c>
      <c r="L10" s="11">
        <f t="shared" si="2"/>
        <v>296</v>
      </c>
    </row>
    <row r="11" spans="1:12">
      <c r="A11" s="37"/>
      <c r="B11" s="4" t="s">
        <v>20</v>
      </c>
      <c r="C11" s="5">
        <v>46207</v>
      </c>
      <c r="D11" s="6">
        <v>351</v>
      </c>
      <c r="E11" s="38"/>
      <c r="F11" s="8">
        <f>IF(E10=0,0,D11/E10)</f>
        <v>43.875</v>
      </c>
      <c r="G11" s="39"/>
      <c r="H11" s="33"/>
      <c r="I11" s="33"/>
      <c r="J11" s="6">
        <v>2.2999999999999998</v>
      </c>
      <c r="K11" s="8">
        <f>2.52/J11*I10</f>
        <v>40.539130434782614</v>
      </c>
      <c r="L11" s="11"/>
    </row>
    <row r="12" spans="1:12">
      <c r="A12" s="3" t="s">
        <v>22</v>
      </c>
      <c r="B12" s="4" t="s">
        <v>23</v>
      </c>
      <c r="C12" s="5">
        <v>46245</v>
      </c>
      <c r="D12" s="6">
        <v>709</v>
      </c>
      <c r="E12" s="7">
        <v>8</v>
      </c>
      <c r="F12" s="8">
        <f>IF(E12=0,0,D12/E12)</f>
        <v>88.625</v>
      </c>
      <c r="G12" s="9">
        <f t="shared" ref="G12:G18" si="3">IF(E12=0,0,SUMPRODUCT(F12:F12,J12:J12)/(I12*2.52))</f>
        <v>1.1290987886382622</v>
      </c>
      <c r="H12" s="10">
        <f t="shared" ref="H12:H19" si="4">G12*I12*E12</f>
        <v>343.24603174603169</v>
      </c>
      <c r="I12" s="10">
        <v>38</v>
      </c>
      <c r="J12" s="6">
        <v>1.22</v>
      </c>
      <c r="K12" s="8">
        <f t="shared" ref="K12:K19" si="5">2.52/J12*I12</f>
        <v>78.491803278688522</v>
      </c>
      <c r="L12" s="11">
        <f t="shared" ref="L12:L19" si="6">E12*I12</f>
        <v>304</v>
      </c>
    </row>
    <row r="13" spans="1:12">
      <c r="A13" s="3" t="s">
        <v>24</v>
      </c>
      <c r="B13" s="4" t="s">
        <v>25</v>
      </c>
      <c r="C13" s="5">
        <v>46239</v>
      </c>
      <c r="D13" s="6">
        <v>396</v>
      </c>
      <c r="E13" s="7">
        <v>8</v>
      </c>
      <c r="F13" s="8">
        <f>IF(E13=0,0,D13/E13)</f>
        <v>49.5</v>
      </c>
      <c r="G13" s="9">
        <f t="shared" si="3"/>
        <v>0.89943609022556381</v>
      </c>
      <c r="H13" s="10">
        <f t="shared" si="4"/>
        <v>273.42857142857139</v>
      </c>
      <c r="I13" s="10">
        <v>38</v>
      </c>
      <c r="J13" s="6">
        <v>1.74</v>
      </c>
      <c r="K13" s="8">
        <f t="shared" si="5"/>
        <v>55.03448275862069</v>
      </c>
      <c r="L13" s="11">
        <f t="shared" si="6"/>
        <v>304</v>
      </c>
    </row>
    <row r="14" spans="1:12">
      <c r="A14" s="3" t="s">
        <v>26</v>
      </c>
      <c r="B14" s="4" t="s">
        <v>25</v>
      </c>
      <c r="C14" s="5">
        <v>46240</v>
      </c>
      <c r="D14" s="6">
        <v>553</v>
      </c>
      <c r="E14" s="7">
        <v>8</v>
      </c>
      <c r="F14" s="8">
        <f>IF(E14=0,0,D14/E14)</f>
        <v>69.125</v>
      </c>
      <c r="G14" s="9">
        <f t="shared" si="3"/>
        <v>1.2899774774774775</v>
      </c>
      <c r="H14" s="10">
        <f t="shared" si="4"/>
        <v>381.83333333333331</v>
      </c>
      <c r="I14" s="10">
        <v>37</v>
      </c>
      <c r="J14" s="6">
        <v>1.74</v>
      </c>
      <c r="K14" s="8">
        <f t="shared" si="5"/>
        <v>53.586206896551722</v>
      </c>
      <c r="L14" s="11">
        <f t="shared" si="6"/>
        <v>296</v>
      </c>
    </row>
    <row r="15" spans="1:12">
      <c r="A15" s="3" t="s">
        <v>27</v>
      </c>
      <c r="B15" s="4" t="s">
        <v>28</v>
      </c>
      <c r="C15" s="5">
        <v>46157</v>
      </c>
      <c r="D15" s="6">
        <v>1207</v>
      </c>
      <c r="E15" s="7">
        <v>8</v>
      </c>
      <c r="F15" s="8">
        <f>IF(E15=0,0,D15/E15)</f>
        <v>150.875</v>
      </c>
      <c r="G15" s="9">
        <f t="shared" si="3"/>
        <v>1.8906641604010022</v>
      </c>
      <c r="H15" s="10">
        <f t="shared" si="4"/>
        <v>574.7619047619047</v>
      </c>
      <c r="I15" s="10">
        <v>38</v>
      </c>
      <c r="J15" s="6">
        <v>1.2</v>
      </c>
      <c r="K15" s="8">
        <f t="shared" si="5"/>
        <v>79.8</v>
      </c>
      <c r="L15" s="11">
        <f t="shared" si="6"/>
        <v>304</v>
      </c>
    </row>
    <row r="16" spans="1:12">
      <c r="A16" s="3" t="s">
        <v>29</v>
      </c>
      <c r="B16" s="4" t="s">
        <v>30</v>
      </c>
      <c r="C16" s="5">
        <v>46154</v>
      </c>
      <c r="D16" s="6">
        <v>752</v>
      </c>
      <c r="E16" s="7">
        <v>8</v>
      </c>
      <c r="F16" s="8">
        <f>IF(E16=0,0,D16/E16)</f>
        <v>94</v>
      </c>
      <c r="G16" s="9">
        <f t="shared" si="3"/>
        <v>2.2285307285307288</v>
      </c>
      <c r="H16" s="10">
        <f t="shared" si="4"/>
        <v>695.30158730158735</v>
      </c>
      <c r="I16" s="10">
        <v>39</v>
      </c>
      <c r="J16" s="6">
        <v>2.33</v>
      </c>
      <c r="K16" s="8">
        <f t="shared" si="5"/>
        <v>42.180257510729611</v>
      </c>
      <c r="L16" s="11">
        <f t="shared" si="6"/>
        <v>312</v>
      </c>
    </row>
    <row r="17" spans="1:12">
      <c r="A17" s="3" t="s">
        <v>31</v>
      </c>
      <c r="B17" s="4" t="s">
        <v>32</v>
      </c>
      <c r="C17" s="5">
        <v>46235</v>
      </c>
      <c r="D17" s="6">
        <v>876</v>
      </c>
      <c r="E17" s="7">
        <v>8</v>
      </c>
      <c r="F17" s="8">
        <f>IF(E17=0,0,D17/E17)</f>
        <v>109.5</v>
      </c>
      <c r="G17" s="9">
        <f t="shared" si="3"/>
        <v>1.3622908622908623</v>
      </c>
      <c r="H17" s="10">
        <f t="shared" si="4"/>
        <v>403.23809523809524</v>
      </c>
      <c r="I17" s="10">
        <v>37</v>
      </c>
      <c r="J17" s="6">
        <v>1.1599999999999999</v>
      </c>
      <c r="K17" s="8">
        <f t="shared" si="5"/>
        <v>80.379310344827587</v>
      </c>
      <c r="L17" s="11">
        <f t="shared" si="6"/>
        <v>296</v>
      </c>
    </row>
    <row r="18" spans="1:12">
      <c r="A18" s="3" t="s">
        <v>33</v>
      </c>
      <c r="B18" s="4" t="s">
        <v>34</v>
      </c>
      <c r="C18" s="5">
        <v>46220</v>
      </c>
      <c r="D18" s="6">
        <v>785</v>
      </c>
      <c r="E18" s="7">
        <v>8</v>
      </c>
      <c r="F18" s="8">
        <f>IF(E18=0,0,D18/E18)</f>
        <v>98.125</v>
      </c>
      <c r="G18" s="9">
        <f t="shared" si="3"/>
        <v>1.5775081400081399</v>
      </c>
      <c r="H18" s="10">
        <f t="shared" si="4"/>
        <v>492.18253968253964</v>
      </c>
      <c r="I18" s="10">
        <v>39</v>
      </c>
      <c r="J18" s="6">
        <v>1.58</v>
      </c>
      <c r="K18" s="8">
        <f t="shared" si="5"/>
        <v>62.202531645569614</v>
      </c>
      <c r="L18" s="11">
        <f t="shared" si="6"/>
        <v>312</v>
      </c>
    </row>
    <row r="19" spans="1:12">
      <c r="A19" s="37" t="s">
        <v>35</v>
      </c>
      <c r="B19" s="4" t="s">
        <v>17</v>
      </c>
      <c r="C19" s="5">
        <v>46203</v>
      </c>
      <c r="D19" s="6">
        <v>2</v>
      </c>
      <c r="E19" s="38">
        <v>8</v>
      </c>
      <c r="F19" s="8">
        <f>IF(E19=0,0,D19/E19)</f>
        <v>0.25</v>
      </c>
      <c r="G19" s="39">
        <f>IF(E19=0,0,SUMPRODUCT(F19:F20,J19:J20)/(I19*2.52))</f>
        <v>1.4270180659983289</v>
      </c>
      <c r="H19" s="33">
        <f t="shared" si="4"/>
        <v>433.81349206349199</v>
      </c>
      <c r="I19" s="33">
        <v>38</v>
      </c>
      <c r="J19" s="6">
        <v>1.64</v>
      </c>
      <c r="K19" s="8">
        <f t="shared" si="5"/>
        <v>58.390243902439025</v>
      </c>
      <c r="L19" s="11">
        <f t="shared" si="6"/>
        <v>304</v>
      </c>
    </row>
    <row r="20" spans="1:12">
      <c r="A20" s="37"/>
      <c r="B20" s="4" t="s">
        <v>36</v>
      </c>
      <c r="C20" s="5">
        <v>46214</v>
      </c>
      <c r="D20" s="6">
        <v>773</v>
      </c>
      <c r="E20" s="38"/>
      <c r="F20" s="8">
        <f>IF(E19=0,0,D20/E19)</f>
        <v>96.625</v>
      </c>
      <c r="G20" s="39"/>
      <c r="H20" s="33"/>
      <c r="I20" s="33"/>
      <c r="J20" s="6">
        <v>1.41</v>
      </c>
      <c r="K20" s="8">
        <f>2.52/J20*I19</f>
        <v>67.914893617021278</v>
      </c>
      <c r="L20" s="11"/>
    </row>
    <row r="21" spans="1:12">
      <c r="A21" s="3" t="s">
        <v>37</v>
      </c>
      <c r="B21" s="4" t="s">
        <v>14</v>
      </c>
      <c r="C21" s="5">
        <v>46209</v>
      </c>
      <c r="D21" s="6">
        <v>1733</v>
      </c>
      <c r="E21" s="7">
        <v>8</v>
      </c>
      <c r="F21" s="8">
        <f>IF(E21=0,0,D21/E21)</f>
        <v>216.625</v>
      </c>
      <c r="G21" s="9">
        <f>IF(E21=0,0,SUMPRODUCT(F21:F21,J21:J21)/(I21*2.52))</f>
        <v>1.9680842731829573</v>
      </c>
      <c r="H21" s="10">
        <f t="shared" ref="H21:H26" si="7">G21*I21*E21</f>
        <v>598.29761904761904</v>
      </c>
      <c r="I21" s="10">
        <v>38</v>
      </c>
      <c r="J21" s="6">
        <v>0.87</v>
      </c>
      <c r="K21" s="8">
        <f t="shared" ref="K21:K26" si="8">2.52/J21*I21</f>
        <v>110.06896551724138</v>
      </c>
      <c r="L21" s="11">
        <f t="shared" ref="L21:L26" si="9">E21*I21</f>
        <v>304</v>
      </c>
    </row>
    <row r="22" spans="1:12">
      <c r="A22" s="3" t="s">
        <v>38</v>
      </c>
      <c r="B22" s="4" t="s">
        <v>14</v>
      </c>
      <c r="C22" s="5">
        <v>46209</v>
      </c>
      <c r="D22" s="6">
        <v>1650</v>
      </c>
      <c r="E22" s="7">
        <v>8</v>
      </c>
      <c r="F22" s="8">
        <f>IF(E22=0,0,D22/E22)</f>
        <v>206.25</v>
      </c>
      <c r="G22" s="9">
        <f>IF(E22=0,0,SUMPRODUCT(F22:F22,J22:J22)/(I22*2.52))</f>
        <v>1.8257783882783882</v>
      </c>
      <c r="H22" s="10">
        <f t="shared" si="7"/>
        <v>569.64285714285711</v>
      </c>
      <c r="I22" s="10">
        <v>39</v>
      </c>
      <c r="J22" s="6">
        <v>0.87</v>
      </c>
      <c r="K22" s="8">
        <f t="shared" si="8"/>
        <v>112.96551724137932</v>
      </c>
      <c r="L22" s="11">
        <f t="shared" si="9"/>
        <v>312</v>
      </c>
    </row>
    <row r="23" spans="1:12">
      <c r="A23" s="3" t="s">
        <v>39</v>
      </c>
      <c r="B23" s="4" t="s">
        <v>20</v>
      </c>
      <c r="C23" s="5">
        <v>46155</v>
      </c>
      <c r="D23" s="6">
        <v>730</v>
      </c>
      <c r="E23" s="7">
        <v>8</v>
      </c>
      <c r="F23" s="8">
        <f>IF(E23=0,0,D23/E23)</f>
        <v>91.25</v>
      </c>
      <c r="G23" s="9">
        <f>IF(E23=0,0,SUMPRODUCT(F23:F23,J23:J23)/(I23*2.52))</f>
        <v>2.0612026862026864</v>
      </c>
      <c r="H23" s="10">
        <f t="shared" si="7"/>
        <v>643.09523809523819</v>
      </c>
      <c r="I23" s="10">
        <v>39</v>
      </c>
      <c r="J23" s="6">
        <v>2.2200000000000002</v>
      </c>
      <c r="K23" s="8">
        <f t="shared" si="8"/>
        <v>44.270270270270267</v>
      </c>
      <c r="L23" s="11">
        <f t="shared" si="9"/>
        <v>312</v>
      </c>
    </row>
    <row r="24" spans="1:12">
      <c r="A24" s="3" t="s">
        <v>40</v>
      </c>
      <c r="B24" s="4" t="s">
        <v>14</v>
      </c>
      <c r="C24" s="5">
        <v>46219</v>
      </c>
      <c r="D24" s="6">
        <v>1552</v>
      </c>
      <c r="E24" s="7">
        <v>8</v>
      </c>
      <c r="F24" s="8">
        <f>IF(E24=0,0,D24/E24)</f>
        <v>194</v>
      </c>
      <c r="G24" s="9">
        <f>IF(E24=0,0,SUMPRODUCT(F24:F24,J24:J24)/(I24*2.52))</f>
        <v>1.8604497354497356</v>
      </c>
      <c r="H24" s="10">
        <f t="shared" si="7"/>
        <v>535.80952380952385</v>
      </c>
      <c r="I24" s="10">
        <v>36</v>
      </c>
      <c r="J24" s="6">
        <v>0.87</v>
      </c>
      <c r="K24" s="8">
        <f t="shared" si="8"/>
        <v>104.27586206896552</v>
      </c>
      <c r="L24" s="11">
        <f t="shared" si="9"/>
        <v>288</v>
      </c>
    </row>
    <row r="25" spans="1:12">
      <c r="A25" s="3" t="s">
        <v>41</v>
      </c>
      <c r="B25" s="4" t="s">
        <v>14</v>
      </c>
      <c r="C25" s="5">
        <v>46192</v>
      </c>
      <c r="D25" s="6">
        <v>1846</v>
      </c>
      <c r="E25" s="7">
        <v>8</v>
      </c>
      <c r="F25" s="8">
        <f>IF(E25=0,0,D25/E25)</f>
        <v>230.75</v>
      </c>
      <c r="G25" s="9">
        <f>IF(E25=0,0,SUMPRODUCT(F25:F25,J25:J25)/(I25*2.52))</f>
        <v>2.0426587301587302</v>
      </c>
      <c r="H25" s="10">
        <f t="shared" si="7"/>
        <v>637.30952380952385</v>
      </c>
      <c r="I25" s="10">
        <v>39</v>
      </c>
      <c r="J25" s="6">
        <v>0.87</v>
      </c>
      <c r="K25" s="8">
        <f t="shared" si="8"/>
        <v>112.96551724137932</v>
      </c>
      <c r="L25" s="11">
        <f t="shared" si="9"/>
        <v>312</v>
      </c>
    </row>
    <row r="26" spans="1:12">
      <c r="A26" s="37" t="s">
        <v>42</v>
      </c>
      <c r="B26" s="4" t="s">
        <v>43</v>
      </c>
      <c r="C26" s="5"/>
      <c r="D26" s="6">
        <v>0</v>
      </c>
      <c r="E26" s="38">
        <v>8</v>
      </c>
      <c r="F26" s="8">
        <f>IF(E26=0,0,D26/E26)</f>
        <v>0</v>
      </c>
      <c r="G26" s="39">
        <f>IF(E26=0,0,SUMPRODUCT(F26:F28,J26:J28)/(I26*2.52))</f>
        <v>1.4983683166248956</v>
      </c>
      <c r="H26" s="33">
        <f t="shared" si="7"/>
        <v>455.50396825396825</v>
      </c>
      <c r="I26" s="33">
        <v>38</v>
      </c>
      <c r="J26" s="6">
        <v>0.79</v>
      </c>
      <c r="K26" s="8">
        <f t="shared" si="8"/>
        <v>121.21518987341771</v>
      </c>
      <c r="L26" s="11">
        <f t="shared" si="9"/>
        <v>304</v>
      </c>
    </row>
    <row r="27" spans="1:12">
      <c r="A27" s="37"/>
      <c r="B27" s="4" t="s">
        <v>44</v>
      </c>
      <c r="C27" s="5">
        <v>46237</v>
      </c>
      <c r="D27" s="6">
        <v>42</v>
      </c>
      <c r="E27" s="38"/>
      <c r="F27" s="8">
        <f>IF(E26=0,0,D27/E26)</f>
        <v>5.25</v>
      </c>
      <c r="G27" s="39"/>
      <c r="H27" s="33"/>
      <c r="I27" s="33"/>
      <c r="J27" s="6">
        <v>0.79</v>
      </c>
      <c r="K27" s="8">
        <f>2.52/J27*I26</f>
        <v>121.21518987341771</v>
      </c>
      <c r="L27" s="11"/>
    </row>
    <row r="28" spans="1:12">
      <c r="A28" s="37"/>
      <c r="B28" s="4" t="s">
        <v>45</v>
      </c>
      <c r="C28" s="5">
        <v>46244</v>
      </c>
      <c r="D28" s="6">
        <v>1411</v>
      </c>
      <c r="E28" s="38"/>
      <c r="F28" s="8">
        <f>IF(E26=0,0,D28/E26)</f>
        <v>176.375</v>
      </c>
      <c r="G28" s="39"/>
      <c r="H28" s="33"/>
      <c r="I28" s="33"/>
      <c r="J28" s="6">
        <v>0.79</v>
      </c>
      <c r="K28" s="8">
        <f>2.52/J28*I26</f>
        <v>121.21518987341771</v>
      </c>
      <c r="L28" s="11"/>
    </row>
    <row r="29" spans="1:12">
      <c r="A29" s="34" t="s">
        <v>46</v>
      </c>
      <c r="B29" s="35"/>
      <c r="C29" s="36"/>
      <c r="D29" s="12">
        <f>SUM(D5:D28)</f>
        <v>21652</v>
      </c>
      <c r="E29" s="13">
        <f>SUM(E5:E28)</f>
        <v>160</v>
      </c>
      <c r="F29" s="14"/>
      <c r="G29" s="15">
        <f>SUM(H5:H28)/L29</f>
        <v>1.7024762167560181</v>
      </c>
      <c r="H29" s="12"/>
      <c r="I29" s="12">
        <f>SUM(I5:I28)</f>
        <v>755</v>
      </c>
      <c r="J29" s="12"/>
      <c r="K29" s="14"/>
      <c r="L29" s="16">
        <f>SUM(L5:L28)</f>
        <v>6040</v>
      </c>
    </row>
    <row r="30" spans="1:12">
      <c r="A30" s="17"/>
      <c r="B30" s="6"/>
      <c r="C30" s="5"/>
      <c r="D30" s="6"/>
      <c r="E30" s="18"/>
      <c r="F30" s="8"/>
      <c r="G30" s="19"/>
      <c r="H30" s="6"/>
      <c r="I30" s="6"/>
      <c r="J30" s="6"/>
      <c r="K30" s="8"/>
      <c r="L30" s="11"/>
    </row>
    <row r="31" spans="1:12" ht="13.5" thickBot="1">
      <c r="A31" s="40" t="s">
        <v>47</v>
      </c>
      <c r="B31" s="41"/>
      <c r="C31" s="42"/>
      <c r="D31" s="20">
        <f>SUMIF(A5:A30, "&lt;&gt;Summary", D5:D30)</f>
        <v>21652</v>
      </c>
      <c r="E31" s="21">
        <f>SUMIF(A5:A30, "&lt;&gt;Summary", E5:E30)</f>
        <v>160</v>
      </c>
      <c r="F31" s="22"/>
      <c r="G31" s="23">
        <f>SUMIF(A5:A30, "&lt;&gt;Summary", H5:H30)/L31</f>
        <v>1.7024762167560181</v>
      </c>
      <c r="H31" s="20"/>
      <c r="I31" s="20">
        <f>SUMIF(A5:A30, "&lt;&gt;Summary", I5:I30)</f>
        <v>755</v>
      </c>
      <c r="J31" s="20"/>
      <c r="K31" s="22"/>
      <c r="L31" s="24">
        <f>SUMIF(A5:A30, "&lt;&gt;Summary", L5:L30)</f>
        <v>6040</v>
      </c>
    </row>
    <row r="32" spans="1:12" ht="13.5" thickTop="1"/>
    <row r="33" spans="3:4">
      <c r="C33" s="25" t="s">
        <v>48</v>
      </c>
      <c r="D33" s="26">
        <f>SUM(H5:H9)/SUM(L5:L9)</f>
        <v>1.7573948948948948</v>
      </c>
    </row>
    <row r="34" spans="3:4">
      <c r="C34" s="25" t="s">
        <v>49</v>
      </c>
      <c r="D34" s="26">
        <f>SUM(H10:H15)/SUM(L10:L15)</f>
        <v>1.4746126730834177</v>
      </c>
    </row>
    <row r="35" spans="3:4">
      <c r="C35" s="25" t="s">
        <v>50</v>
      </c>
      <c r="D35" s="26">
        <f>SUM(H16:H21)/SUM(L16:L21)</f>
        <v>1.7165139616055844</v>
      </c>
    </row>
    <row r="36" spans="3:4">
      <c r="C36" s="25" t="s">
        <v>51</v>
      </c>
      <c r="D36" s="26">
        <f>SUM(H22:H28)/SUM(L22:L28)</f>
        <v>1.8595295229784761</v>
      </c>
    </row>
  </sheetData>
  <mergeCells count="29">
    <mergeCell ref="A31:C31"/>
    <mergeCell ref="A26:A28"/>
    <mergeCell ref="E26:E28"/>
    <mergeCell ref="G26:G28"/>
    <mergeCell ref="H26:H28"/>
    <mergeCell ref="I26:I28"/>
    <mergeCell ref="A29:C29"/>
    <mergeCell ref="A10:A11"/>
    <mergeCell ref="E10:E11"/>
    <mergeCell ref="G10:G11"/>
    <mergeCell ref="H10:H11"/>
    <mergeCell ref="I10:I11"/>
    <mergeCell ref="A19:A20"/>
    <mergeCell ref="E19:E20"/>
    <mergeCell ref="G19:G20"/>
    <mergeCell ref="H19:H20"/>
    <mergeCell ref="I19:I20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5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2026-08-19T02:06:03Z</cp:lastPrinted>
  <dcterms:created xsi:type="dcterms:W3CDTF">2026-08-19T00:56:00Z</dcterms:created>
  <dcterms:modified xsi:type="dcterms:W3CDTF">2026-08-19T02:23:47Z</dcterms:modified>
</cp:coreProperties>
</file>