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33" i="1"/>
  <c r="F12"/>
  <c r="E33"/>
  <c r="F6"/>
  <c r="F7"/>
  <c r="F8"/>
  <c r="F9"/>
  <c r="F10"/>
  <c r="F11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5"/>
  <c r="D40"/>
  <c r="D39"/>
  <c r="D38"/>
  <c r="D37"/>
  <c r="O35" l="1"/>
  <c r="L35"/>
  <c r="I35"/>
  <c r="G35"/>
  <c r="D35"/>
  <c r="O33"/>
  <c r="I33" s="1"/>
  <c r="L33"/>
  <c r="G33"/>
  <c r="D33"/>
  <c r="O30"/>
  <c r="K30"/>
  <c r="I30"/>
  <c r="N32"/>
  <c r="H32"/>
  <c r="N31"/>
  <c r="H31"/>
  <c r="N30"/>
  <c r="H30"/>
  <c r="O29"/>
  <c r="K29"/>
  <c r="I29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3"/>
  <c r="K23"/>
  <c r="I23"/>
  <c r="N24"/>
  <c r="H24"/>
  <c r="N23"/>
  <c r="H23"/>
  <c r="O21"/>
  <c r="K21"/>
  <c r="I21"/>
  <c r="N22"/>
  <c r="H22"/>
  <c r="N21"/>
  <c r="H21"/>
  <c r="O20"/>
  <c r="K20"/>
  <c r="I20"/>
  <c r="N20"/>
  <c r="H20"/>
  <c r="O19"/>
  <c r="K19"/>
  <c r="I19"/>
  <c r="N19"/>
  <c r="H19"/>
  <c r="O18"/>
  <c r="K18"/>
  <c r="I18"/>
  <c r="N18"/>
  <c r="H18"/>
  <c r="O17"/>
  <c r="K17"/>
  <c r="I17"/>
  <c r="N17"/>
  <c r="H17"/>
  <c r="O16"/>
  <c r="K16"/>
  <c r="I16"/>
  <c r="N16"/>
  <c r="H16"/>
  <c r="O14"/>
  <c r="K14"/>
  <c r="I14"/>
  <c r="N15"/>
  <c r="H15"/>
  <c r="N14"/>
  <c r="H14"/>
  <c r="O11"/>
  <c r="K11"/>
  <c r="I11"/>
  <c r="N13"/>
  <c r="H13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<sst xmlns="http://schemas.openxmlformats.org/spreadsheetml/2006/main" count="70" uniqueCount="59">
  <si>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</si>
  <si>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</si>
  <si>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</si>
  <si>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</si>
  <si>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</si>
  <si>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</si>
  <si>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</si>
  <si>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</si>
  <si>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</si>
  <si>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</si>
  <si>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</si>
  <si>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</si>
  <si>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</si>
  <si>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</si>
  <si>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</si>
  <si>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</si>
  <si>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</si>
  <si>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</si>
  <si>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</si>
  <si>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</si>
  <si>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</si>
  <si>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</si>
  <si>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</si>
  <si>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L0R516_C426IND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</si>
  <si>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</si>
  <si>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</si>
  <si>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</si>
  <si>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</si>
  <si>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</si>
  <si>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</si>
  <si>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</si>
  <si>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</si>
  <si>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</si>
  <si>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5-12</t>
  </si>
  <si>
    <t>K864_FA26</t>
  </si>
  <si>
    <t>5-13</t>
  </si>
  <si>
    <t>MX6FK108_HO26</t>
  </si>
  <si>
    <t>P68YG3_C127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</si>
  <si>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</si>
  <si>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</si>
  <si>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</si>
  <si>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</si>
  <si>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</si>
  <si>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</si>
  <si>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</si>
  <si>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</si>
  <si>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</si>
  <si>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</si>
  <si>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</si>
  <si>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</si>
  <si>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</si>
  <si>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</si>
  <si>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</si>
  <si>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</si>
  <si>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</si>
  <si>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</si>
  <si>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</si>
  <si>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</si>
  <si>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 xml:space="preserve">PERMINTAAN SCHEDULE 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</si>
</sst>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tabSelected="1" workbookViewId="0">
      <pane ySplit="4" topLeftCell="A5" activePane="bottomLeft" state="frozen"/>
      <selection pane="bottomLeft" activeCell="D9" sqref="D9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8" width="8.7109375" style="1" customWidth="1"/>
    <col min="9" max="9" width="12.42578125" style="1" customWidth="1"/>
    <col min="10" max="10" width="11.425781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46255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56</v>
      </c>
      <c r="F3" s="43" t="s">
        <v>57</v>
      </c>
      <c r="G3" s="35" t="s">
        <v>5</v>
      </c>
      <c r="H3" s="35" t="s">
        <v>6</v>
      </c>
      <c r="I3" s="35" t="s">
        <v>7</v>
      </c>
      <c r="J3" s="43" t="s">
        <v>58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 ht="17.25" customHeight="1">
      <c r="A5" s="31" t="s">
        <v>13</v>
      </c>
      <c r="B5" s="3" t="s">
        <v>14</v>
      </c>
      <c r="C5" s="4">
        <v>46220</v>
      </c>
      <c r="D5" s="45">
        <v>28</v>
      </c>
      <c r="E5" s="45">
        <v>28</v>
      </c>
      <c r="F5" s="45">
        <f>D5-E5</f>
        <v>0</v>
      </c>
      <c r="G5" s="32">
        <v>8</v>
      </c>
      <c r="H5" s="6">
        <f>IF(G5=0,0,D5/G5)</f>
        <v>3.5</v>
      </c>
      <c r="I5" s="33">
        <f>IF(G5=0,0,SUMPRODUCT(H5:H6,M5:M6)/(L5*2.52))</f>
        <v>1.8057968682968684</v>
      </c>
      <c r="J5" s="48">
        <v>1.55</v>
      </c>
      <c r="K5" s="34">
        <f>I5*L5*G5</f>
        <v>534.51587301587301</v>
      </c>
      <c r="L5" s="34">
        <v>37</v>
      </c>
      <c r="M5" s="5">
        <v>1.81</v>
      </c>
      <c r="N5" s="6">
        <f>2.52/M5*L5</f>
        <v>51.513812154696133</v>
      </c>
      <c r="O5" s="7">
        <f>G5*L5</f>
        <v>296</v>
      </c>
    </row>
    <row r="6" spans="1:15" ht="17.25" customHeight="1">
      <c r="A6" s="31"/>
      <c r="B6" s="3" t="s">
        <v>15</v>
      </c>
      <c r="C6" s="4">
        <v>46238</v>
      </c>
      <c r="D6" s="45">
        <v>1490</v>
      </c>
      <c r="E6" s="45">
        <v>1500</v>
      </c>
      <c r="F6" s="45">
        <f t="shared" ref="F6:F32" si="0">D6-E6</f>
        <v>-10</v>
      </c>
      <c r="G6" s="32"/>
      <c r="H6" s="6">
        <f>IF(G5=0,0,D6/G5)</f>
        <v>186.25</v>
      </c>
      <c r="I6" s="33"/>
      <c r="J6" s="49"/>
      <c r="K6" s="34"/>
      <c r="L6" s="34"/>
      <c r="M6" s="5">
        <v>0.87</v>
      </c>
      <c r="N6" s="6">
        <f>2.52/M6*L5</f>
        <v>107.17241379310344</v>
      </c>
      <c r="O6" s="7"/>
    </row>
    <row r="7" spans="1:15" ht="17.25" customHeight="1">
      <c r="A7" s="8" t="s">
        <v>16</v>
      </c>
      <c r="B7" s="3" t="s">
        <v>15</v>
      </c>
      <c r="C7" s="4">
        <v>46198</v>
      </c>
      <c r="D7" s="45">
        <v>1554</v>
      </c>
      <c r="E7" s="45">
        <v>1550</v>
      </c>
      <c r="F7" s="45">
        <f t="shared" si="0"/>
        <v>4</v>
      </c>
      <c r="G7" s="9">
        <v>8</v>
      </c>
      <c r="H7" s="6">
        <f>IF(G7=0,0,D7/G7)</f>
        <v>194.25</v>
      </c>
      <c r="I7" s="10">
        <f>IF(G7=0,0,SUMPRODUCT(H7:H7,M7:M7)/(L7*2.52))</f>
        <v>1.9724264705882351</v>
      </c>
      <c r="J7" s="10">
        <v>1.9</v>
      </c>
      <c r="K7" s="11">
        <f>I7*L7*G7</f>
        <v>536.49999999999989</v>
      </c>
      <c r="L7" s="11">
        <v>34</v>
      </c>
      <c r="M7" s="5">
        <v>0.87</v>
      </c>
      <c r="N7" s="6">
        <f>2.52/M7*L7</f>
        <v>98.482758620689651</v>
      </c>
      <c r="O7" s="7">
        <f>G7*L7</f>
        <v>272</v>
      </c>
    </row>
    <row r="8" spans="1:15" ht="17.25" customHeight="1">
      <c r="A8" s="8" t="s">
        <v>17</v>
      </c>
      <c r="B8" s="3" t="s">
        <v>18</v>
      </c>
      <c r="C8" s="4">
        <v>46245</v>
      </c>
      <c r="D8" s="45">
        <v>632</v>
      </c>
      <c r="E8" s="45">
        <v>626</v>
      </c>
      <c r="F8" s="45">
        <f t="shared" si="0"/>
        <v>6</v>
      </c>
      <c r="G8" s="9">
        <v>8</v>
      </c>
      <c r="H8" s="6">
        <f>IF(G8=0,0,D8/G8)</f>
        <v>79</v>
      </c>
      <c r="I8" s="10">
        <f>IF(G8=0,0,SUMPRODUCT(H8:H8,M8:M8)/(L8*2.52))</f>
        <v>1.3895323895323897</v>
      </c>
      <c r="J8" s="10">
        <v>1.35</v>
      </c>
      <c r="K8" s="11">
        <f>I8*L8*G8</f>
        <v>411.30158730158735</v>
      </c>
      <c r="L8" s="11">
        <v>37</v>
      </c>
      <c r="M8" s="5">
        <v>1.64</v>
      </c>
      <c r="N8" s="6">
        <f>2.52/M8*L8</f>
        <v>56.853658536585364</v>
      </c>
      <c r="O8" s="7">
        <f>G8*L8</f>
        <v>296</v>
      </c>
    </row>
    <row r="9" spans="1:15" ht="17.25" customHeight="1">
      <c r="A9" s="8" t="s">
        <v>19</v>
      </c>
      <c r="B9" s="3" t="s">
        <v>15</v>
      </c>
      <c r="C9" s="4">
        <v>46219</v>
      </c>
      <c r="D9" s="45">
        <v>1615</v>
      </c>
      <c r="E9" s="45">
        <v>1640</v>
      </c>
      <c r="F9" s="45">
        <f t="shared" si="0"/>
        <v>-25</v>
      </c>
      <c r="G9" s="9">
        <v>8</v>
      </c>
      <c r="H9" s="6">
        <f>IF(G9=0,0,D9/G9)</f>
        <v>201.875</v>
      </c>
      <c r="I9" s="10">
        <f>IF(G9=0,0,SUMPRODUCT(H9:H9,M9:M9)/(L9*2.52))</f>
        <v>1.9359705687830688</v>
      </c>
      <c r="J9" s="10">
        <v>1.95</v>
      </c>
      <c r="K9" s="11">
        <f>I9*L9*G9</f>
        <v>557.55952380952385</v>
      </c>
      <c r="L9" s="11">
        <v>36</v>
      </c>
      <c r="M9" s="5">
        <v>0.87</v>
      </c>
      <c r="N9" s="6">
        <f>2.52/M9*L9</f>
        <v>104.27586206896552</v>
      </c>
      <c r="O9" s="7">
        <f>G9*L9</f>
        <v>288</v>
      </c>
    </row>
    <row r="10" spans="1:15" ht="17.25" customHeight="1">
      <c r="A10" s="8" t="s">
        <v>20</v>
      </c>
      <c r="B10" s="3" t="s">
        <v>21</v>
      </c>
      <c r="C10" s="4">
        <v>46213</v>
      </c>
      <c r="D10" s="45">
        <v>760</v>
      </c>
      <c r="E10" s="45">
        <v>760</v>
      </c>
      <c r="F10" s="45">
        <f t="shared" si="0"/>
        <v>0</v>
      </c>
      <c r="G10" s="9">
        <v>8</v>
      </c>
      <c r="H10" s="6">
        <f>IF(G10=0,0,D10/G10)</f>
        <v>95</v>
      </c>
      <c r="I10" s="10">
        <f>IF(G10=0,0,SUMPRODUCT(H10:H10,M10:M10)/(L10*2.52))</f>
        <v>2.0922619047619047</v>
      </c>
      <c r="J10" s="10">
        <v>2.1</v>
      </c>
      <c r="K10" s="11">
        <f>I10*L10*G10</f>
        <v>669.52380952380952</v>
      </c>
      <c r="L10" s="11">
        <v>40</v>
      </c>
      <c r="M10" s="5">
        <v>2.2200000000000002</v>
      </c>
      <c r="N10" s="6">
        <f>2.52/M10*L10</f>
        <v>45.405405405405403</v>
      </c>
      <c r="O10" s="7">
        <f>G10*L10</f>
        <v>320</v>
      </c>
    </row>
    <row r="11" spans="1:15" ht="17.25" customHeight="1">
      <c r="A11" s="31" t="s">
        <v>22</v>
      </c>
      <c r="B11" s="3" t="s">
        <v>23</v>
      </c>
      <c r="C11" s="4">
        <v>46157</v>
      </c>
      <c r="D11" s="45">
        <v>2</v>
      </c>
      <c r="E11" s="45">
        <v>2</v>
      </c>
      <c r="F11" s="45">
        <f t="shared" si="0"/>
        <v>0</v>
      </c>
      <c r="G11" s="32">
        <v>8</v>
      </c>
      <c r="H11" s="6">
        <f>IF(G11=0,0,D11/G11)</f>
        <v>0.25</v>
      </c>
      <c r="I11" s="33">
        <f>IF(G11=0,0,SUMPRODUCT(H11:H13,M11:M13)/(L11*2.52))</f>
        <v>2.0251501501501505</v>
      </c>
      <c r="J11" s="48">
        <v>2.1</v>
      </c>
      <c r="K11" s="34">
        <f>I11*L11*G11</f>
        <v>599.44444444444457</v>
      </c>
      <c r="L11" s="34">
        <v>37</v>
      </c>
      <c r="M11" s="5">
        <v>2.33</v>
      </c>
      <c r="N11" s="6">
        <f>2.52/M11*L11</f>
        <v>40.017167381974247</v>
      </c>
      <c r="O11" s="7">
        <f>G11*L11</f>
        <v>296</v>
      </c>
    </row>
    <row r="12" spans="1:15" ht="17.25" customHeight="1">
      <c r="A12" s="31"/>
      <c r="B12" s="3" t="s">
        <v>21</v>
      </c>
      <c r="C12" s="4">
        <v>46207</v>
      </c>
      <c r="D12" s="45">
        <v>467</v>
      </c>
      <c r="E12" s="46">
        <v>695</v>
      </c>
      <c r="F12" s="46">
        <f>D12+D13-E12</f>
        <v>-24</v>
      </c>
      <c r="G12" s="32"/>
      <c r="H12" s="6">
        <f>IF(G11=0,0,D12/G11)</f>
        <v>58.375</v>
      </c>
      <c r="I12" s="33"/>
      <c r="J12" s="50"/>
      <c r="K12" s="34"/>
      <c r="L12" s="34"/>
      <c r="M12" s="5">
        <v>2.2200000000000002</v>
      </c>
      <c r="N12" s="6">
        <f>2.52/M12*L11</f>
        <v>42</v>
      </c>
      <c r="O12" s="7"/>
    </row>
    <row r="13" spans="1:15" ht="17.25" customHeight="1">
      <c r="A13" s="31"/>
      <c r="B13" s="3" t="s">
        <v>21</v>
      </c>
      <c r="C13" s="4">
        <v>46207</v>
      </c>
      <c r="D13" s="45">
        <v>204</v>
      </c>
      <c r="E13" s="47"/>
      <c r="F13" s="47"/>
      <c r="G13" s="32"/>
      <c r="H13" s="6">
        <f>IF(G11=0,0,D13/G11)</f>
        <v>25.5</v>
      </c>
      <c r="I13" s="33"/>
      <c r="J13" s="49"/>
      <c r="K13" s="34"/>
      <c r="L13" s="34"/>
      <c r="M13" s="5">
        <v>2.2999999999999998</v>
      </c>
      <c r="N13" s="6">
        <f>2.52/M13*L11</f>
        <v>40.539130434782614</v>
      </c>
      <c r="O13" s="7"/>
    </row>
    <row r="14" spans="1:15" ht="17.25" customHeight="1">
      <c r="A14" s="31" t="s">
        <v>24</v>
      </c>
      <c r="B14" s="3" t="s">
        <v>25</v>
      </c>
      <c r="C14" s="4">
        <v>46237</v>
      </c>
      <c r="D14" s="45">
        <v>0</v>
      </c>
      <c r="E14" s="45">
        <v>0</v>
      </c>
      <c r="F14" s="45">
        <f t="shared" si="0"/>
        <v>0</v>
      </c>
      <c r="G14" s="32">
        <v>8</v>
      </c>
      <c r="H14" s="6">
        <f>IF(G14=0,0,D14/G14)</f>
        <v>0</v>
      </c>
      <c r="I14" s="33">
        <f>IF(G14=0,0,SUMPRODUCT(H14:H15,M14:M15)/(L14*2.52))</f>
        <v>1.4125678780284041</v>
      </c>
      <c r="J14" s="48">
        <v>1.3</v>
      </c>
      <c r="K14" s="34">
        <f>I14*L14*G14</f>
        <v>429.42063492063482</v>
      </c>
      <c r="L14" s="34">
        <v>38</v>
      </c>
      <c r="M14" s="5">
        <v>1.73</v>
      </c>
      <c r="N14" s="6">
        <f>2.52/M14*L14</f>
        <v>55.352601156069362</v>
      </c>
      <c r="O14" s="7">
        <f>G14*L14</f>
        <v>304</v>
      </c>
    </row>
    <row r="15" spans="1:15" ht="17.25" customHeight="1">
      <c r="A15" s="31"/>
      <c r="B15" s="3" t="s">
        <v>26</v>
      </c>
      <c r="C15" s="4">
        <v>46245</v>
      </c>
      <c r="D15" s="45">
        <v>887</v>
      </c>
      <c r="E15" s="45">
        <v>889</v>
      </c>
      <c r="F15" s="45">
        <f t="shared" si="0"/>
        <v>-2</v>
      </c>
      <c r="G15" s="32"/>
      <c r="H15" s="6">
        <f>IF(G14=0,0,D15/G14)</f>
        <v>110.875</v>
      </c>
      <c r="I15" s="33"/>
      <c r="J15" s="49"/>
      <c r="K15" s="34"/>
      <c r="L15" s="34"/>
      <c r="M15" s="5">
        <v>1.22</v>
      </c>
      <c r="N15" s="6">
        <f>2.52/M15*L14</f>
        <v>78.491803278688522</v>
      </c>
      <c r="O15" s="7"/>
    </row>
    <row r="16" spans="1:15" ht="17.25" customHeight="1">
      <c r="A16" s="8" t="s">
        <v>27</v>
      </c>
      <c r="B16" s="3" t="s">
        <v>28</v>
      </c>
      <c r="C16" s="4">
        <v>46239</v>
      </c>
      <c r="D16" s="45">
        <v>573</v>
      </c>
      <c r="E16" s="45">
        <v>573</v>
      </c>
      <c r="F16" s="45">
        <f t="shared" si="0"/>
        <v>0</v>
      </c>
      <c r="G16" s="9">
        <v>8</v>
      </c>
      <c r="H16" s="6">
        <f t="shared" ref="H16:H21" si="1">IF(G16=0,0,D16/G16)</f>
        <v>71.625</v>
      </c>
      <c r="I16" s="10">
        <f>IF(G16=0,0,SUMPRODUCT(H16:H16,M16:M16)/(L16*2.52))</f>
        <v>1.3014567669172932</v>
      </c>
      <c r="J16" s="10">
        <v>1.25</v>
      </c>
      <c r="K16" s="11">
        <f t="shared" ref="K16:K21" si="2">I16*L16*G16</f>
        <v>395.64285714285711</v>
      </c>
      <c r="L16" s="11">
        <v>38</v>
      </c>
      <c r="M16" s="5">
        <v>1.74</v>
      </c>
      <c r="N16" s="6">
        <f t="shared" ref="N16:N21" si="3">2.52/M16*L16</f>
        <v>55.03448275862069</v>
      </c>
      <c r="O16" s="7">
        <f t="shared" ref="O16:O21" si="4">G16*L16</f>
        <v>304</v>
      </c>
    </row>
    <row r="17" spans="1:15" ht="17.25" customHeight="1">
      <c r="A17" s="8" t="s">
        <v>29</v>
      </c>
      <c r="B17" s="3" t="s">
        <v>28</v>
      </c>
      <c r="C17" s="4">
        <v>46240</v>
      </c>
      <c r="D17" s="45">
        <v>564</v>
      </c>
      <c r="E17" s="45">
        <v>564</v>
      </c>
      <c r="F17" s="45">
        <f t="shared" si="0"/>
        <v>0</v>
      </c>
      <c r="G17" s="9">
        <v>8</v>
      </c>
      <c r="H17" s="6">
        <f t="shared" si="1"/>
        <v>70.5</v>
      </c>
      <c r="I17" s="10">
        <f>IF(G17=0,0,SUMPRODUCT(H17:H17,M17:M17)/(L17*2.52))</f>
        <v>1.3156370656370657</v>
      </c>
      <c r="J17" s="10">
        <v>1.25</v>
      </c>
      <c r="K17" s="11">
        <f t="shared" si="2"/>
        <v>389.42857142857144</v>
      </c>
      <c r="L17" s="11">
        <v>37</v>
      </c>
      <c r="M17" s="5">
        <v>1.74</v>
      </c>
      <c r="N17" s="6">
        <f t="shared" si="3"/>
        <v>53.586206896551722</v>
      </c>
      <c r="O17" s="7">
        <f t="shared" si="4"/>
        <v>296</v>
      </c>
    </row>
    <row r="18" spans="1:15" ht="17.25" customHeight="1">
      <c r="A18" s="8" t="s">
        <v>30</v>
      </c>
      <c r="B18" s="3" t="s">
        <v>31</v>
      </c>
      <c r="C18" s="4">
        <v>46157</v>
      </c>
      <c r="D18" s="45">
        <v>1231</v>
      </c>
      <c r="E18" s="45">
        <v>1231</v>
      </c>
      <c r="F18" s="45">
        <f t="shared" si="0"/>
        <v>0</v>
      </c>
      <c r="G18" s="9">
        <v>8</v>
      </c>
      <c r="H18" s="6">
        <f t="shared" si="1"/>
        <v>153.875</v>
      </c>
      <c r="I18" s="10">
        <f>IF(G18=0,0,SUMPRODUCT(H18:H18,M18:M18)/(L18*2.52))</f>
        <v>1.8788156288156288</v>
      </c>
      <c r="J18" s="10">
        <v>1.82</v>
      </c>
      <c r="K18" s="11">
        <f t="shared" si="2"/>
        <v>586.19047619047615</v>
      </c>
      <c r="L18" s="11">
        <v>39</v>
      </c>
      <c r="M18" s="5">
        <v>1.2</v>
      </c>
      <c r="N18" s="6">
        <f t="shared" si="3"/>
        <v>81.900000000000006</v>
      </c>
      <c r="O18" s="7">
        <f t="shared" si="4"/>
        <v>312</v>
      </c>
    </row>
    <row r="19" spans="1:15" ht="17.25" customHeight="1">
      <c r="A19" s="8" t="s">
        <v>32</v>
      </c>
      <c r="B19" s="3" t="s">
        <v>23</v>
      </c>
      <c r="C19" s="4">
        <v>46154</v>
      </c>
      <c r="D19" s="45">
        <v>671</v>
      </c>
      <c r="E19" s="45">
        <v>671</v>
      </c>
      <c r="F19" s="45">
        <f t="shared" si="0"/>
        <v>0</v>
      </c>
      <c r="G19" s="9">
        <v>8</v>
      </c>
      <c r="H19" s="6">
        <f t="shared" si="1"/>
        <v>83.875</v>
      </c>
      <c r="I19" s="10">
        <f>IF(G19=0,0,SUMPRODUCT(H19:H19,M19:M19)/(L19*2.52))</f>
        <v>2.0408181913116121</v>
      </c>
      <c r="J19" s="10">
        <v>2.2999999999999998</v>
      </c>
      <c r="K19" s="11">
        <f t="shared" si="2"/>
        <v>620.40873015873012</v>
      </c>
      <c r="L19" s="11">
        <v>38</v>
      </c>
      <c r="M19" s="5">
        <v>2.33</v>
      </c>
      <c r="N19" s="6">
        <f t="shared" si="3"/>
        <v>41.098712446351925</v>
      </c>
      <c r="O19" s="7">
        <f t="shared" si="4"/>
        <v>304</v>
      </c>
    </row>
    <row r="20" spans="1:15" ht="17.25" customHeight="1">
      <c r="A20" s="8" t="s">
        <v>33</v>
      </c>
      <c r="B20" s="3" t="s">
        <v>34</v>
      </c>
      <c r="C20" s="4">
        <v>46235</v>
      </c>
      <c r="D20" s="45">
        <v>792</v>
      </c>
      <c r="E20" s="45">
        <v>790</v>
      </c>
      <c r="F20" s="45">
        <f t="shared" si="0"/>
        <v>2</v>
      </c>
      <c r="G20" s="9">
        <v>8</v>
      </c>
      <c r="H20" s="6">
        <f t="shared" si="1"/>
        <v>99</v>
      </c>
      <c r="I20" s="10">
        <f>IF(G20=0,0,SUMPRODUCT(H20:H20,M20:M20)/(L20*2.52))</f>
        <v>1.2316602316602316</v>
      </c>
      <c r="J20" s="10">
        <v>1.4</v>
      </c>
      <c r="K20" s="11">
        <f t="shared" si="2"/>
        <v>364.57142857142856</v>
      </c>
      <c r="L20" s="11">
        <v>37</v>
      </c>
      <c r="M20" s="5">
        <v>1.1599999999999999</v>
      </c>
      <c r="N20" s="6">
        <f t="shared" si="3"/>
        <v>80.379310344827587</v>
      </c>
      <c r="O20" s="7">
        <f t="shared" si="4"/>
        <v>296</v>
      </c>
    </row>
    <row r="21" spans="1:15" ht="17.25" customHeight="1">
      <c r="A21" s="31" t="s">
        <v>35</v>
      </c>
      <c r="B21" s="3" t="s">
        <v>36</v>
      </c>
      <c r="C21" s="4">
        <v>46220</v>
      </c>
      <c r="D21" s="45">
        <v>62</v>
      </c>
      <c r="E21" s="45">
        <v>62</v>
      </c>
      <c r="F21" s="45">
        <f t="shared" si="0"/>
        <v>0</v>
      </c>
      <c r="G21" s="32">
        <v>8</v>
      </c>
      <c r="H21" s="6">
        <f t="shared" si="1"/>
        <v>7.75</v>
      </c>
      <c r="I21" s="33">
        <f>IF(G21=0,0,SUMPRODUCT(H21:H22,M21:M22)/(L21*2.52))</f>
        <v>0.15058479532163743</v>
      </c>
      <c r="J21" s="48">
        <v>0.8</v>
      </c>
      <c r="K21" s="34">
        <f t="shared" si="2"/>
        <v>45.777777777777779</v>
      </c>
      <c r="L21" s="34">
        <v>38</v>
      </c>
      <c r="M21" s="5">
        <v>1.58</v>
      </c>
      <c r="N21" s="6">
        <f t="shared" si="3"/>
        <v>60.607594936708857</v>
      </c>
      <c r="O21" s="7">
        <f t="shared" si="4"/>
        <v>304</v>
      </c>
    </row>
    <row r="22" spans="1:15" ht="17.25" customHeight="1">
      <c r="A22" s="31"/>
      <c r="B22" s="3" t="s">
        <v>37</v>
      </c>
      <c r="C22" s="4">
        <v>46255</v>
      </c>
      <c r="D22" s="45">
        <v>20</v>
      </c>
      <c r="E22" s="45">
        <v>27</v>
      </c>
      <c r="F22" s="45">
        <f t="shared" si="0"/>
        <v>-7</v>
      </c>
      <c r="G22" s="32"/>
      <c r="H22" s="6">
        <f>IF(G21=0,0,D22/G21)</f>
        <v>2.5</v>
      </c>
      <c r="I22" s="33"/>
      <c r="J22" s="49"/>
      <c r="K22" s="34"/>
      <c r="L22" s="34"/>
      <c r="M22" s="5">
        <v>0.87</v>
      </c>
      <c r="N22" s="6">
        <f>2.52/M22*L21</f>
        <v>110.06896551724138</v>
      </c>
      <c r="O22" s="7"/>
    </row>
    <row r="23" spans="1:15" ht="17.25" customHeight="1">
      <c r="A23" s="31" t="s">
        <v>38</v>
      </c>
      <c r="B23" s="3" t="s">
        <v>39</v>
      </c>
      <c r="C23" s="4">
        <v>46192</v>
      </c>
      <c r="D23" s="45">
        <v>1081</v>
      </c>
      <c r="E23" s="45">
        <v>1035</v>
      </c>
      <c r="F23" s="45">
        <f t="shared" si="0"/>
        <v>46</v>
      </c>
      <c r="G23" s="32">
        <v>8</v>
      </c>
      <c r="H23" s="6">
        <f>IF(G23=0,0,D23/G23)</f>
        <v>135.125</v>
      </c>
      <c r="I23" s="33">
        <f>IF(G23=0,0,SUMPRODUCT(H23:H24,M23:M24)/(L23*2.52))</f>
        <v>1.8319496658312449</v>
      </c>
      <c r="J23" s="48">
        <v>1.39</v>
      </c>
      <c r="K23" s="34">
        <f>I23*L23*G23</f>
        <v>556.91269841269843</v>
      </c>
      <c r="L23" s="34">
        <v>38</v>
      </c>
      <c r="M23" s="5">
        <v>1.28</v>
      </c>
      <c r="N23" s="6">
        <f>2.52/M23*L23</f>
        <v>74.8125</v>
      </c>
      <c r="O23" s="7">
        <f>G23*L23</f>
        <v>304</v>
      </c>
    </row>
    <row r="24" spans="1:15" ht="17.25" customHeight="1">
      <c r="A24" s="31"/>
      <c r="B24" s="3" t="s">
        <v>40</v>
      </c>
      <c r="C24" s="4">
        <v>46214</v>
      </c>
      <c r="D24" s="45">
        <v>14</v>
      </c>
      <c r="E24" s="45">
        <v>14</v>
      </c>
      <c r="F24" s="45">
        <f t="shared" si="0"/>
        <v>0</v>
      </c>
      <c r="G24" s="32"/>
      <c r="H24" s="6">
        <f>IF(G23=0,0,D24/G23)</f>
        <v>1.75</v>
      </c>
      <c r="I24" s="33"/>
      <c r="J24" s="49"/>
      <c r="K24" s="34"/>
      <c r="L24" s="34"/>
      <c r="M24" s="5">
        <v>1.41</v>
      </c>
      <c r="N24" s="6">
        <f>2.52/M24*L23</f>
        <v>67.914893617021278</v>
      </c>
      <c r="O24" s="7"/>
    </row>
    <row r="25" spans="1:15" ht="17.25" customHeight="1">
      <c r="A25" s="8" t="s">
        <v>41</v>
      </c>
      <c r="B25" s="3" t="s">
        <v>15</v>
      </c>
      <c r="C25" s="4">
        <v>46209</v>
      </c>
      <c r="D25" s="45">
        <v>1772</v>
      </c>
      <c r="E25" s="45">
        <v>1772</v>
      </c>
      <c r="F25" s="45">
        <f t="shared" si="0"/>
        <v>0</v>
      </c>
      <c r="G25" s="9">
        <v>8</v>
      </c>
      <c r="H25" s="6">
        <f t="shared" ref="H25:H30" si="5">IF(G25=0,0,D25/G25)</f>
        <v>221.5</v>
      </c>
      <c r="I25" s="10">
        <f>IF(G25=0,0,SUMPRODUCT(H25:H25,M25:M25)/(L25*2.52))</f>
        <v>2.0123746867167922</v>
      </c>
      <c r="J25" s="10">
        <v>2</v>
      </c>
      <c r="K25" s="11">
        <f t="shared" ref="K25:K30" si="6">I25*L25*G25</f>
        <v>611.76190476190482</v>
      </c>
      <c r="L25" s="11">
        <v>38</v>
      </c>
      <c r="M25" s="5">
        <v>0.87</v>
      </c>
      <c r="N25" s="6">
        <f t="shared" ref="N25:N30" si="7">2.52/M25*L25</f>
        <v>110.06896551724138</v>
      </c>
      <c r="O25" s="7">
        <f t="shared" ref="O25:O30" si="8">G25*L25</f>
        <v>304</v>
      </c>
    </row>
    <row r="26" spans="1:15" ht="17.25" customHeight="1">
      <c r="A26" s="8" t="s">
        <v>42</v>
      </c>
      <c r="B26" s="3" t="s">
        <v>15</v>
      </c>
      <c r="C26" s="4">
        <v>46209</v>
      </c>
      <c r="D26" s="45">
        <v>1750</v>
      </c>
      <c r="E26" s="45">
        <v>1750</v>
      </c>
      <c r="F26" s="45">
        <f t="shared" si="0"/>
        <v>0</v>
      </c>
      <c r="G26" s="9">
        <v>8</v>
      </c>
      <c r="H26" s="6">
        <f t="shared" si="5"/>
        <v>218.75</v>
      </c>
      <c r="I26" s="10">
        <f>IF(G26=0,0,SUMPRODUCT(H26:H26,M26:M26)/(L26*2.52))</f>
        <v>1.8880208333333335</v>
      </c>
      <c r="J26" s="10">
        <v>1.8</v>
      </c>
      <c r="K26" s="11">
        <f t="shared" si="6"/>
        <v>604.16666666666674</v>
      </c>
      <c r="L26" s="11">
        <v>40</v>
      </c>
      <c r="M26" s="5">
        <v>0.87</v>
      </c>
      <c r="N26" s="6">
        <f t="shared" si="7"/>
        <v>115.86206896551724</v>
      </c>
      <c r="O26" s="7">
        <f t="shared" si="8"/>
        <v>320</v>
      </c>
    </row>
    <row r="27" spans="1:15" ht="17.25" customHeight="1">
      <c r="A27" s="8" t="s">
        <v>43</v>
      </c>
      <c r="B27" s="3" t="s">
        <v>21</v>
      </c>
      <c r="C27" s="4">
        <v>46155</v>
      </c>
      <c r="D27" s="45">
        <v>761</v>
      </c>
      <c r="E27" s="45">
        <v>761</v>
      </c>
      <c r="F27" s="45">
        <f t="shared" si="0"/>
        <v>0</v>
      </c>
      <c r="G27" s="9">
        <v>8</v>
      </c>
      <c r="H27" s="6">
        <f t="shared" si="5"/>
        <v>95.125</v>
      </c>
      <c r="I27" s="10">
        <f>IF(G27=0,0,SUMPRODUCT(H27:H27,M27:M27)/(L27*2.52))</f>
        <v>2.0950148809523812</v>
      </c>
      <c r="J27" s="10">
        <v>2.1</v>
      </c>
      <c r="K27" s="11">
        <f t="shared" si="6"/>
        <v>670.40476190476193</v>
      </c>
      <c r="L27" s="11">
        <v>40</v>
      </c>
      <c r="M27" s="5">
        <v>2.2200000000000002</v>
      </c>
      <c r="N27" s="6">
        <f t="shared" si="7"/>
        <v>45.405405405405403</v>
      </c>
      <c r="O27" s="7">
        <f t="shared" si="8"/>
        <v>320</v>
      </c>
    </row>
    <row r="28" spans="1:15" ht="17.25" customHeight="1">
      <c r="A28" s="8" t="s">
        <v>44</v>
      </c>
      <c r="B28" s="3" t="s">
        <v>15</v>
      </c>
      <c r="C28" s="4">
        <v>46219</v>
      </c>
      <c r="D28" s="45">
        <v>1607</v>
      </c>
      <c r="E28" s="45">
        <v>1607</v>
      </c>
      <c r="F28" s="45">
        <f t="shared" si="0"/>
        <v>0</v>
      </c>
      <c r="G28" s="9">
        <v>8</v>
      </c>
      <c r="H28" s="6">
        <f t="shared" si="5"/>
        <v>200.875</v>
      </c>
      <c r="I28" s="10">
        <f>IF(G28=0,0,SUMPRODUCT(H28:H28,M28:M28)/(L28*2.52))</f>
        <v>1.8743162805662805</v>
      </c>
      <c r="J28" s="10">
        <v>1.95</v>
      </c>
      <c r="K28" s="11">
        <f t="shared" si="6"/>
        <v>554.79761904761904</v>
      </c>
      <c r="L28" s="11">
        <v>37</v>
      </c>
      <c r="M28" s="5">
        <v>0.87</v>
      </c>
      <c r="N28" s="6">
        <f t="shared" si="7"/>
        <v>107.17241379310344</v>
      </c>
      <c r="O28" s="7">
        <f t="shared" si="8"/>
        <v>296</v>
      </c>
    </row>
    <row r="29" spans="1:15" ht="17.25" customHeight="1">
      <c r="A29" s="8" t="s">
        <v>45</v>
      </c>
      <c r="B29" s="3" t="s">
        <v>15</v>
      </c>
      <c r="C29" s="4">
        <v>46192</v>
      </c>
      <c r="D29" s="45">
        <v>1900</v>
      </c>
      <c r="E29" s="45">
        <v>1900</v>
      </c>
      <c r="F29" s="45">
        <f t="shared" si="0"/>
        <v>0</v>
      </c>
      <c r="G29" s="9">
        <v>8</v>
      </c>
      <c r="H29" s="6">
        <f t="shared" si="5"/>
        <v>237.5</v>
      </c>
      <c r="I29" s="10">
        <f>IF(G29=0,0,SUMPRODUCT(H29:H29,M29:M29)/(L29*2.52))</f>
        <v>2.1024114774114775</v>
      </c>
      <c r="J29" s="10">
        <v>2</v>
      </c>
      <c r="K29" s="11">
        <f t="shared" si="6"/>
        <v>655.95238095238096</v>
      </c>
      <c r="L29" s="11">
        <v>39</v>
      </c>
      <c r="M29" s="5">
        <v>0.87</v>
      </c>
      <c r="N29" s="6">
        <f t="shared" si="7"/>
        <v>112.96551724137932</v>
      </c>
      <c r="O29" s="7">
        <f t="shared" si="8"/>
        <v>312</v>
      </c>
    </row>
    <row r="30" spans="1:15" ht="17.25" customHeight="1">
      <c r="A30" s="31" t="s">
        <v>46</v>
      </c>
      <c r="B30" s="3" t="s">
        <v>47</v>
      </c>
      <c r="C30" s="4">
        <v>46237</v>
      </c>
      <c r="D30" s="45">
        <v>84</v>
      </c>
      <c r="E30" s="45">
        <v>84</v>
      </c>
      <c r="F30" s="45">
        <f t="shared" si="0"/>
        <v>0</v>
      </c>
      <c r="G30" s="32">
        <v>8</v>
      </c>
      <c r="H30" s="6">
        <f t="shared" si="5"/>
        <v>10.5</v>
      </c>
      <c r="I30" s="33">
        <f>IF(G30=0,0,SUMPRODUCT(H30:H32,M30:M32)/(L30*2.52))</f>
        <v>1.6489270050125313</v>
      </c>
      <c r="J30" s="48">
        <v>1.6</v>
      </c>
      <c r="K30" s="34">
        <f t="shared" si="6"/>
        <v>501.27380952380952</v>
      </c>
      <c r="L30" s="34">
        <v>38</v>
      </c>
      <c r="M30" s="5">
        <v>0.79</v>
      </c>
      <c r="N30" s="6">
        <f t="shared" si="7"/>
        <v>121.21518987341771</v>
      </c>
      <c r="O30" s="7">
        <f t="shared" si="8"/>
        <v>304</v>
      </c>
    </row>
    <row r="31" spans="1:15" ht="17.25" customHeight="1">
      <c r="A31" s="31"/>
      <c r="B31" s="3" t="s">
        <v>48</v>
      </c>
      <c r="C31" s="4">
        <v>46244</v>
      </c>
      <c r="D31" s="45">
        <v>370</v>
      </c>
      <c r="E31" s="45">
        <v>351</v>
      </c>
      <c r="F31" s="45">
        <f t="shared" si="0"/>
        <v>19</v>
      </c>
      <c r="G31" s="32"/>
      <c r="H31" s="6">
        <f>IF(G30=0,0,D31/G30)</f>
        <v>46.25</v>
      </c>
      <c r="I31" s="33"/>
      <c r="J31" s="50"/>
      <c r="K31" s="34"/>
      <c r="L31" s="34"/>
      <c r="M31" s="5">
        <v>0.79</v>
      </c>
      <c r="N31" s="6">
        <f>2.52/M31*L30</f>
        <v>121.21518987341771</v>
      </c>
      <c r="O31" s="7"/>
    </row>
    <row r="32" spans="1:15" ht="17.25" customHeight="1">
      <c r="A32" s="31"/>
      <c r="B32" s="3" t="s">
        <v>49</v>
      </c>
      <c r="C32" s="4">
        <v>46253</v>
      </c>
      <c r="D32" s="45">
        <v>1145</v>
      </c>
      <c r="E32" s="45">
        <v>1133</v>
      </c>
      <c r="F32" s="45">
        <f t="shared" si="0"/>
        <v>12</v>
      </c>
      <c r="G32" s="32"/>
      <c r="H32" s="6">
        <f>IF(G30=0,0,D32/G30)</f>
        <v>143.125</v>
      </c>
      <c r="I32" s="33"/>
      <c r="J32" s="49"/>
      <c r="K32" s="34"/>
      <c r="L32" s="34"/>
      <c r="M32" s="5">
        <v>0.79</v>
      </c>
      <c r="N32" s="6">
        <f>2.52/M32*L30</f>
        <v>121.21518987341771</v>
      </c>
      <c r="O32" s="7"/>
    </row>
    <row r="33" spans="1:15">
      <c r="A33" s="25" t="s">
        <v>50</v>
      </c>
      <c r="B33" s="26"/>
      <c r="C33" s="27"/>
      <c r="D33" s="12">
        <f>SUM(D5:D32)</f>
        <v>22036</v>
      </c>
      <c r="E33" s="12">
        <f>SUM(E5:E32)</f>
        <v>22015</v>
      </c>
      <c r="F33" s="12">
        <f>F6+F9+F12+F15+F22</f>
        <v>-68</v>
      </c>
      <c r="G33" s="13">
        <f>SUM(G5:G32)</f>
        <v>160</v>
      </c>
      <c r="H33" s="14"/>
      <c r="I33" s="15">
        <f>SUM(K5:K32)/O33</f>
        <v>1.7023074661963553</v>
      </c>
      <c r="J33" s="15"/>
      <c r="K33" s="12"/>
      <c r="L33" s="12">
        <f>SUM(L5:L32)</f>
        <v>756</v>
      </c>
      <c r="M33" s="12"/>
      <c r="N33" s="14"/>
      <c r="O33" s="16">
        <f>SUM(O5:O32)</f>
        <v>6048</v>
      </c>
    </row>
    <row r="34" spans="1:15">
      <c r="A34" s="17"/>
      <c r="B34" s="5"/>
      <c r="C34" s="4"/>
      <c r="D34" s="5"/>
      <c r="E34" s="5"/>
      <c r="F34" s="5"/>
      <c r="G34" s="18"/>
      <c r="H34" s="6"/>
      <c r="I34" s="19"/>
      <c r="J34" s="19"/>
      <c r="K34" s="5"/>
      <c r="L34" s="5"/>
      <c r="M34" s="5"/>
      <c r="N34" s="6"/>
      <c r="O34" s="7"/>
    </row>
    <row r="35" spans="1:15" ht="13.5" thickBot="1">
      <c r="A35" s="28" t="s">
        <v>51</v>
      </c>
      <c r="B35" s="29"/>
      <c r="C35" s="30"/>
      <c r="D35" s="20">
        <f>SUMIF(A5:A34, "&lt;&gt;Summary", D5:D34)</f>
        <v>22036</v>
      </c>
      <c r="E35" s="20"/>
      <c r="F35" s="20"/>
      <c r="G35" s="21">
        <f>SUMIF(A5:A34, "&lt;&gt;Summary", G5:G34)</f>
        <v>160</v>
      </c>
      <c r="H35" s="22"/>
      <c r="I35" s="23">
        <f>SUMIF(A5:A34, "&lt;&gt;Summary", K5:K34)/O35</f>
        <v>1.7023074661963553</v>
      </c>
      <c r="J35" s="23"/>
      <c r="K35" s="20"/>
      <c r="L35" s="20">
        <f>SUMIF(A5:A34, "&lt;&gt;Summary", L5:L34)</f>
        <v>756</v>
      </c>
      <c r="M35" s="20"/>
      <c r="N35" s="22"/>
      <c r="O35" s="24">
        <f>SUMIF(A5:A34, "&lt;&gt;Summary", O5:O34)</f>
        <v>6048</v>
      </c>
    </row>
    <row r="36" spans="1:15" ht="13.5" thickTop="1"/>
    <row r="37" spans="1:15">
      <c r="C37" s="41" t="s">
        <v>52</v>
      </c>
      <c r="D37" s="42">
        <f>SUM(K5:K10)/SUM(O5:O10)</f>
        <v>1.8406255391649413</v>
      </c>
      <c r="E37" s="42"/>
      <c r="F37" s="42"/>
    </row>
    <row r="38" spans="1:15">
      <c r="C38" s="41" t="s">
        <v>53</v>
      </c>
      <c r="D38" s="42">
        <f>SUM(K11:K18)/SUM(O11:O18)</f>
        <v>1.5873855715125555</v>
      </c>
      <c r="E38" s="42"/>
      <c r="F38" s="42"/>
    </row>
    <row r="39" spans="1:15">
      <c r="C39" s="41" t="s">
        <v>54</v>
      </c>
      <c r="D39" s="42">
        <f>SUM(K19:K25)/SUM(O19:O25)</f>
        <v>1.4546511505836903</v>
      </c>
      <c r="E39" s="42"/>
      <c r="F39" s="42"/>
    </row>
    <row r="40" spans="1:15">
      <c r="C40" s="41" t="s">
        <v>55</v>
      </c>
      <c r="D40" s="42">
        <f>SUM(K26:K32)/SUM(O26:O32)</f>
        <v>1.9243526018654884</v>
      </c>
      <c r="E40" s="42"/>
      <c r="F40" s="42"/>
    </row>
  </sheetData>
  <mergeCells count="55">
    <mergeCell ref="O3:O4"/>
    <mergeCell ref="A3:A4"/>
    <mergeCell ref="B3:B4"/>
    <mergeCell ref="C3:C4"/>
    <mergeCell ref="D3:D4"/>
    <mergeCell ref="G3:G4"/>
    <mergeCell ref="H3:H4"/>
    <mergeCell ref="F3:F4"/>
    <mergeCell ref="E3:E4"/>
    <mergeCell ref="J3:J4"/>
    <mergeCell ref="I3:I4"/>
    <mergeCell ref="K3:K4"/>
    <mergeCell ref="L3:L4"/>
    <mergeCell ref="M3:M4"/>
    <mergeCell ref="N3:N4"/>
    <mergeCell ref="A11:A13"/>
    <mergeCell ref="G11:G13"/>
    <mergeCell ref="I11:I13"/>
    <mergeCell ref="K11:K13"/>
    <mergeCell ref="L11:L13"/>
    <mergeCell ref="E12:E13"/>
    <mergeCell ref="F12:F13"/>
    <mergeCell ref="J11:J13"/>
    <mergeCell ref="A5:A6"/>
    <mergeCell ref="G5:G6"/>
    <mergeCell ref="I5:I6"/>
    <mergeCell ref="K5:K6"/>
    <mergeCell ref="L5:L6"/>
    <mergeCell ref="J5:J6"/>
    <mergeCell ref="A21:A22"/>
    <mergeCell ref="G21:G22"/>
    <mergeCell ref="I21:I22"/>
    <mergeCell ref="K21:K22"/>
    <mergeCell ref="L21:L22"/>
    <mergeCell ref="J21:J22"/>
    <mergeCell ref="A14:A15"/>
    <mergeCell ref="G14:G15"/>
    <mergeCell ref="I14:I15"/>
    <mergeCell ref="K14:K15"/>
    <mergeCell ref="L14:L15"/>
    <mergeCell ref="J14:J15"/>
    <mergeCell ref="K23:K24"/>
    <mergeCell ref="L23:L24"/>
    <mergeCell ref="A30:A32"/>
    <mergeCell ref="G30:G32"/>
    <mergeCell ref="I30:I32"/>
    <mergeCell ref="K30:K32"/>
    <mergeCell ref="L30:L32"/>
    <mergeCell ref="J23:J24"/>
    <mergeCell ref="J30:J32"/>
    <mergeCell ref="A33:C33"/>
    <mergeCell ref="A35:C35"/>
    <mergeCell ref="A23:A24"/>
    <mergeCell ref="G23:G24"/>
    <mergeCell ref="I23:I24"/>
  </mergeCells>
  <printOptions horizontalCentered="1"/>
  <pageMargins left="0.2" right="0.2" top="1" bottom="0.2" header="0.2" footer="0.2"/>
  <pageSetup paperSize="9" scale="73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2026-08-24T00:53:20Z</cp:lastPrinted>
  <dcterms:created xsi:type="dcterms:W3CDTF">2026-08-24T00:41:09Z</dcterms:created>
  <dcterms:modified xsi:type="dcterms:W3CDTF">2026-08-24T00:53:24Z</dcterms:modified>
</cp:coreProperties>
</file>