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8" i="1"/>
  <c r="D49"/>
  <c r="D47"/>
  <c r="D46"/>
  <c r="I44"/>
  <c r="E44"/>
  <c r="D44"/>
  <c r="I43"/>
  <c r="E43"/>
  <c r="D43"/>
  <c r="L41"/>
  <c r="K42"/>
  <c r="F42"/>
  <c r="K41"/>
  <c r="F41"/>
  <c r="L40"/>
  <c r="K40"/>
  <c r="F40"/>
  <c r="G40" s="1"/>
  <c r="H40" s="1"/>
  <c r="L38"/>
  <c r="K39"/>
  <c r="F39"/>
  <c r="K38"/>
  <c r="F38"/>
  <c r="L37"/>
  <c r="K37"/>
  <c r="F37"/>
  <c r="G37" s="1"/>
  <c r="H37" s="1"/>
  <c r="L36"/>
  <c r="K36"/>
  <c r="F36"/>
  <c r="G36" s="1"/>
  <c r="H36" s="1"/>
  <c r="L34"/>
  <c r="K35"/>
  <c r="F35"/>
  <c r="K34"/>
  <c r="F34"/>
  <c r="L32"/>
  <c r="K33"/>
  <c r="F33"/>
  <c r="K32"/>
  <c r="F32"/>
  <c r="L31"/>
  <c r="K31"/>
  <c r="F31"/>
  <c r="G31" s="1"/>
  <c r="H31" s="1"/>
  <c r="L29"/>
  <c r="K30"/>
  <c r="F30"/>
  <c r="K29"/>
  <c r="F29"/>
  <c r="L27"/>
  <c r="K28"/>
  <c r="F28"/>
  <c r="K27"/>
  <c r="F27"/>
  <c r="G27" s="1"/>
  <c r="H27" s="1"/>
  <c r="L25"/>
  <c r="K26"/>
  <c r="F26"/>
  <c r="K25"/>
  <c r="F25"/>
  <c r="G25" s="1"/>
  <c r="H25" s="1"/>
  <c r="L18"/>
  <c r="K24"/>
  <c r="F24"/>
  <c r="K23"/>
  <c r="F23"/>
  <c r="K22"/>
  <c r="F22"/>
  <c r="K21"/>
  <c r="F21"/>
  <c r="K20"/>
  <c r="F20"/>
  <c r="K19"/>
  <c r="F19"/>
  <c r="K18"/>
  <c r="F18"/>
  <c r="L15"/>
  <c r="K17"/>
  <c r="F17"/>
  <c r="K16"/>
  <c r="F16"/>
  <c r="K15"/>
  <c r="F15"/>
  <c r="L13"/>
  <c r="K14"/>
  <c r="F14"/>
  <c r="K13"/>
  <c r="F13"/>
  <c r="G13" s="1"/>
  <c r="H13" s="1"/>
  <c r="L12"/>
  <c r="K12"/>
  <c r="F12"/>
  <c r="G12" s="1"/>
  <c r="H12" s="1"/>
  <c r="L11"/>
  <c r="K11"/>
  <c r="F11"/>
  <c r="G11" s="1"/>
  <c r="H11" s="1"/>
  <c r="L9"/>
  <c r="K10"/>
  <c r="F10"/>
  <c r="K9"/>
  <c r="F9"/>
  <c r="L8"/>
  <c r="K8"/>
  <c r="F8"/>
  <c r="G8" s="1"/>
  <c r="H8" s="1"/>
  <c r="L6"/>
  <c r="K7"/>
  <c r="F7"/>
  <c r="K6"/>
  <c r="F6"/>
  <c r="L5"/>
  <c r="L43" s="1"/>
  <c r="K5"/>
  <c r="F5"/>
  <c r="G5" s="1"/>
  <c r="H5" s="1"/>
  <c r="L44" l="1"/>
  <c r="G44" s="1"/>
  <c r="G38"/>
  <c r="H38" s="1"/>
  <c r="G18"/>
  <c r="H18" s="1"/>
  <c r="G34"/>
  <c r="H34" s="1"/>
  <c r="G41"/>
  <c r="H41" s="1"/>
  <c r="G6"/>
  <c r="H6" s="1"/>
  <c r="G43" s="1"/>
  <c r="G9"/>
  <c r="H9" s="1"/>
  <c r="G15"/>
  <c r="H15" s="1"/>
  <c r="G29"/>
  <c r="H29" s="1"/>
  <c r="G32"/>
  <c r="H32" s="1"/>
</calcChain>
</file>

<file path=xl/sharedStrings.xml><?xml version="1.0" encoding="utf-8"?>
<sst xmlns="http://schemas.openxmlformats.org/spreadsheetml/2006/main" count="77" uniqueCount="65">
  <si>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</si>
  <si>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</si>
  <si>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</si>
  <si>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</si>
  <si>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</si>
  <si>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</si>
  <si>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</si>
  <si>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</si>
  <si>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</si>
  <si>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</si>
  <si>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</si>
  <si>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</si>
  <si>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</si>
  <si>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</si>
  <si>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</si>
  <si>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</si>
  <si>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</si>
  <si>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</si>
  <si>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ST841_FA26</t>
  </si>
  <si>
    <t>6-04</t>
  </si>
  <si>
    <t>766362_HO26</t>
  </si>
  <si>
    <t>6-05</t>
  </si>
  <si>
    <t>LPST840</t>
  </si>
  <si>
    <t>6-06</t>
  </si>
  <si>
    <t>777362_VMI</t>
  </si>
  <si>
    <t>6-07</t>
  </si>
  <si>
    <t>CPM263PA05_26Q4</t>
  </si>
  <si>
    <t>352E6Y_SL_C127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</si>
  <si>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</si>
  <si>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</si>
  <si>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</si>
  <si>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</si>
  <si>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</si>
  <si>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</si>
  <si>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</si>
  <si>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</si>
  <si>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</si>
  <si>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</si>
  <si>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</si>
  <si>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</si>
  <si>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1182719_HO26</t>
  </si>
  <si>
    <t>6-11</t>
  </si>
  <si>
    <t>MRLPMM_3PC_C127</t>
  </si>
  <si>
    <t>6-12</t>
  </si>
  <si>
    <t>X25413_C426</t>
  </si>
  <si>
    <t>ZC6HY000</t>
  </si>
  <si>
    <t>6-13</t>
  </si>
  <si>
    <t>1182723_HO26</t>
  </si>
  <si>
    <t>6-14</t>
  </si>
  <si>
    <t>G9M018_C426</t>
  </si>
  <si>
    <t>00GG4Z_C127IND</t>
  </si>
  <si>
    <t>6-15</t>
  </si>
  <si>
    <t>6-16</t>
  </si>
  <si>
    <t>6-17</t>
  </si>
  <si>
    <t>6-18</t>
  </si>
  <si>
    <t>910047_HO26DIS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</si>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</sst>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>
      <pane ySplit="4" topLeftCell="A13" activePane="bottomLeft" state="frozen"/>
      <selection pane="bottomLeft" activeCell="D5" sqref="D5:F4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46255</v>
      </c>
    </row>
    <row r="2" spans="1:12" ht="13.5" thickBot="1"/>
    <row r="3" spans="1:12" ht="13.5" thickTop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9" t="s">
        <v>13</v>
      </c>
      <c r="B5" s="10" t="s">
        <v>14</v>
      </c>
      <c r="C5" s="11">
        <v>46228</v>
      </c>
      <c r="D5" s="37">
        <v>1320</v>
      </c>
      <c r="E5" s="38">
        <v>8</v>
      </c>
      <c r="F5" s="39">
        <f>IF(E5=0,0,D5/E5)</f>
        <v>165</v>
      </c>
      <c r="G5" s="14">
        <f>IF(E5=0,0,SUMPRODUCT(F5:F5,J5:J5)/(I5*2.52))</f>
        <v>1.3439849624060152</v>
      </c>
      <c r="H5" s="15">
        <f>G5*I5*E5</f>
        <v>408.57142857142861</v>
      </c>
      <c r="I5" s="15">
        <v>38</v>
      </c>
      <c r="J5" s="12">
        <v>0.78</v>
      </c>
      <c r="K5" s="13">
        <f>2.52/J5*I5</f>
        <v>122.76923076923077</v>
      </c>
      <c r="L5" s="16">
        <f>E5*I5</f>
        <v>304</v>
      </c>
    </row>
    <row r="6" spans="1:12">
      <c r="A6" s="17" t="s">
        <v>15</v>
      </c>
      <c r="B6" s="10" t="s">
        <v>16</v>
      </c>
      <c r="C6" s="11">
        <v>46176</v>
      </c>
      <c r="D6" s="37">
        <v>510</v>
      </c>
      <c r="E6" s="40">
        <v>8</v>
      </c>
      <c r="F6" s="39">
        <f>IF(E6=0,0,D6/E6)</f>
        <v>63.75</v>
      </c>
      <c r="G6" s="18">
        <f>IF(E6=0,0,SUMPRODUCT(F6:F7,J6:J7)/(I6*2.52))</f>
        <v>2.1605725623582765</v>
      </c>
      <c r="H6" s="19">
        <f>G6*I6*E6</f>
        <v>604.96031746031747</v>
      </c>
      <c r="I6" s="19">
        <v>35</v>
      </c>
      <c r="J6" s="12">
        <v>1.27</v>
      </c>
      <c r="K6" s="13">
        <f>2.52/J6*I6</f>
        <v>69.448818897637793</v>
      </c>
      <c r="L6" s="16">
        <f>E6*I6</f>
        <v>280</v>
      </c>
    </row>
    <row r="7" spans="1:12">
      <c r="A7" s="17"/>
      <c r="B7" s="10" t="s">
        <v>16</v>
      </c>
      <c r="C7" s="11">
        <v>46176</v>
      </c>
      <c r="D7" s="37">
        <v>685</v>
      </c>
      <c r="E7" s="40"/>
      <c r="F7" s="39">
        <f>IF(E6=0,0,D7/E6)</f>
        <v>85.625</v>
      </c>
      <c r="G7" s="18"/>
      <c r="H7" s="19"/>
      <c r="I7" s="19"/>
      <c r="J7" s="12">
        <v>1.28</v>
      </c>
      <c r="K7" s="13">
        <f>2.52/J7*I6</f>
        <v>68.90625</v>
      </c>
      <c r="L7" s="16"/>
    </row>
    <row r="8" spans="1:12">
      <c r="A8" s="9" t="s">
        <v>17</v>
      </c>
      <c r="B8" s="10" t="s">
        <v>18</v>
      </c>
      <c r="C8" s="11">
        <v>46252</v>
      </c>
      <c r="D8" s="37">
        <v>349</v>
      </c>
      <c r="E8" s="38">
        <v>8</v>
      </c>
      <c r="F8" s="39">
        <f>IF(E8=0,0,D8/E8)</f>
        <v>43.625</v>
      </c>
      <c r="G8" s="14">
        <f>IF(E8=0,0,SUMPRODUCT(F8:F8,J8:J8)/(I8*2.52))</f>
        <v>0.81410875160875162</v>
      </c>
      <c r="H8" s="15">
        <f>G8*I8*E8</f>
        <v>240.97619047619048</v>
      </c>
      <c r="I8" s="15">
        <v>37</v>
      </c>
      <c r="J8" s="12">
        <v>1.74</v>
      </c>
      <c r="K8" s="13">
        <f>2.52/J8*I8</f>
        <v>53.586206896551722</v>
      </c>
      <c r="L8" s="16">
        <f>E8*I8</f>
        <v>296</v>
      </c>
    </row>
    <row r="9" spans="1:12">
      <c r="A9" s="17" t="s">
        <v>19</v>
      </c>
      <c r="B9" s="10" t="s">
        <v>20</v>
      </c>
      <c r="C9" s="11">
        <v>46203</v>
      </c>
      <c r="D9" s="37">
        <v>1529</v>
      </c>
      <c r="E9" s="40">
        <v>8</v>
      </c>
      <c r="F9" s="39">
        <f>IF(E9=0,0,D9/E9)</f>
        <v>191.125</v>
      </c>
      <c r="G9" s="18">
        <f>IF(E9=0,0,SUMPRODUCT(F9:F10,J9:J10)/(I9*2.52))</f>
        <v>1.6964938387635753</v>
      </c>
      <c r="H9" s="19">
        <f>G9*I9*E9</f>
        <v>515.73412698412687</v>
      </c>
      <c r="I9" s="19">
        <v>38</v>
      </c>
      <c r="J9" s="12">
        <v>0.85</v>
      </c>
      <c r="K9" s="13">
        <f>2.52/J9*I9</f>
        <v>112.65882352941176</v>
      </c>
      <c r="L9" s="16">
        <f>E9*I9</f>
        <v>304</v>
      </c>
    </row>
    <row r="10" spans="1:12">
      <c r="A10" s="17"/>
      <c r="B10" s="10" t="s">
        <v>20</v>
      </c>
      <c r="C10" s="11">
        <v>46203</v>
      </c>
      <c r="D10" s="37">
        <v>0</v>
      </c>
      <c r="E10" s="40"/>
      <c r="F10" s="39">
        <f>IF(E9=0,0,D10/E9)</f>
        <v>0</v>
      </c>
      <c r="G10" s="18"/>
      <c r="H10" s="19"/>
      <c r="I10" s="19"/>
      <c r="J10" s="12">
        <v>0.88</v>
      </c>
      <c r="K10" s="13">
        <f>2.52/J10*I9</f>
        <v>108.81818181818183</v>
      </c>
      <c r="L10" s="16"/>
    </row>
    <row r="11" spans="1:12">
      <c r="A11" s="9" t="s">
        <v>21</v>
      </c>
      <c r="B11" s="10" t="s">
        <v>22</v>
      </c>
      <c r="C11" s="11">
        <v>46254</v>
      </c>
      <c r="D11" s="37">
        <v>251</v>
      </c>
      <c r="E11" s="38">
        <v>8</v>
      </c>
      <c r="F11" s="39">
        <f>IF(E11=0,0,D11/E11)</f>
        <v>31.375</v>
      </c>
      <c r="G11" s="14">
        <f>IF(E11=0,0,SUMPRODUCT(F11:F11,J11:J11)/(I11*2.52))</f>
        <v>0.52291666666666659</v>
      </c>
      <c r="H11" s="15">
        <f>G11*I11*E11</f>
        <v>146.41666666666666</v>
      </c>
      <c r="I11" s="15">
        <v>35</v>
      </c>
      <c r="J11" s="12">
        <v>1.47</v>
      </c>
      <c r="K11" s="13">
        <f>2.52/J11*I11</f>
        <v>60.000000000000007</v>
      </c>
      <c r="L11" s="16">
        <f>E11*I11</f>
        <v>280</v>
      </c>
    </row>
    <row r="12" spans="1:12">
      <c r="A12" s="9" t="s">
        <v>23</v>
      </c>
      <c r="B12" s="10" t="s">
        <v>24</v>
      </c>
      <c r="C12" s="11">
        <v>46122</v>
      </c>
      <c r="D12" s="37">
        <v>1557</v>
      </c>
      <c r="E12" s="38">
        <v>8</v>
      </c>
      <c r="F12" s="39">
        <f>IF(E12=0,0,D12/E12)</f>
        <v>194.625</v>
      </c>
      <c r="G12" s="14">
        <f>IF(E12=0,0,SUMPRODUCT(F12:F12,J12:J12)/(I12*2.52))</f>
        <v>2.252604166666667</v>
      </c>
      <c r="H12" s="15">
        <f>G12*I12*E12</f>
        <v>648.75000000000011</v>
      </c>
      <c r="I12" s="15">
        <v>36</v>
      </c>
      <c r="J12" s="12">
        <v>1.05</v>
      </c>
      <c r="K12" s="13">
        <f>2.52/J12*I12</f>
        <v>86.399999999999991</v>
      </c>
      <c r="L12" s="16">
        <f>E12*I12</f>
        <v>288</v>
      </c>
    </row>
    <row r="13" spans="1:12">
      <c r="A13" s="17" t="s">
        <v>25</v>
      </c>
      <c r="B13" s="10" t="s">
        <v>26</v>
      </c>
      <c r="C13" s="11">
        <v>46225</v>
      </c>
      <c r="D13" s="37">
        <v>126</v>
      </c>
      <c r="E13" s="40">
        <v>8</v>
      </c>
      <c r="F13" s="39">
        <f>IF(E13=0,0,D13/E13)</f>
        <v>15.75</v>
      </c>
      <c r="G13" s="18">
        <f>IF(E13=0,0,SUMPRODUCT(F13:F14,J13:J14)/(I13*2.52))</f>
        <v>0.24493243243243246</v>
      </c>
      <c r="H13" s="19">
        <f>G13*I13*E13</f>
        <v>72.5</v>
      </c>
      <c r="I13" s="19">
        <v>37</v>
      </c>
      <c r="J13" s="12">
        <v>1.21</v>
      </c>
      <c r="K13" s="13">
        <f>2.52/J13*I13</f>
        <v>77.057851239669432</v>
      </c>
      <c r="L13" s="16">
        <f>E13*I13</f>
        <v>296</v>
      </c>
    </row>
    <row r="14" spans="1:12">
      <c r="A14" s="17"/>
      <c r="B14" s="10" t="s">
        <v>27</v>
      </c>
      <c r="C14" s="11">
        <v>46255</v>
      </c>
      <c r="D14" s="37">
        <v>42</v>
      </c>
      <c r="E14" s="40"/>
      <c r="F14" s="39">
        <f>IF(E13=0,0,D14/E13)</f>
        <v>5.25</v>
      </c>
      <c r="G14" s="18"/>
      <c r="H14" s="19"/>
      <c r="I14" s="19"/>
      <c r="J14" s="12">
        <v>0.72</v>
      </c>
      <c r="K14" s="13">
        <f>2.52/J14*I13</f>
        <v>129.5</v>
      </c>
      <c r="L14" s="16"/>
    </row>
    <row r="15" spans="1:12">
      <c r="A15" s="17" t="s">
        <v>28</v>
      </c>
      <c r="B15" s="10" t="s">
        <v>29</v>
      </c>
      <c r="C15" s="11">
        <v>46179</v>
      </c>
      <c r="D15" s="37">
        <v>1614</v>
      </c>
      <c r="E15" s="40">
        <v>8</v>
      </c>
      <c r="F15" s="39">
        <f>IF(E15=0,0,D15/E15)</f>
        <v>201.75</v>
      </c>
      <c r="G15" s="18">
        <f>IF(E15=0,0,SUMPRODUCT(F15:F17,J15:J17)/(I15*2.52))</f>
        <v>1.8021342083842082</v>
      </c>
      <c r="H15" s="19">
        <f>G15*I15*E15</f>
        <v>562.26587301587301</v>
      </c>
      <c r="I15" s="19">
        <v>39</v>
      </c>
      <c r="J15" s="12">
        <v>0.85</v>
      </c>
      <c r="K15" s="13">
        <f>2.52/J15*I15</f>
        <v>115.62352941176471</v>
      </c>
      <c r="L15" s="16">
        <f>E15*I15</f>
        <v>312</v>
      </c>
    </row>
    <row r="16" spans="1:12">
      <c r="A16" s="17"/>
      <c r="B16" s="10" t="s">
        <v>20</v>
      </c>
      <c r="C16" s="11">
        <v>46213</v>
      </c>
      <c r="D16" s="37">
        <v>25</v>
      </c>
      <c r="E16" s="40"/>
      <c r="F16" s="39">
        <f>IF(E15=0,0,D16/E15)</f>
        <v>3.125</v>
      </c>
      <c r="G16" s="18"/>
      <c r="H16" s="19"/>
      <c r="I16" s="19"/>
      <c r="J16" s="12">
        <v>0.85</v>
      </c>
      <c r="K16" s="13">
        <f>2.52/J16*I15</f>
        <v>115.62352941176471</v>
      </c>
      <c r="L16" s="16"/>
    </row>
    <row r="17" spans="1:12">
      <c r="A17" s="17"/>
      <c r="B17" s="10" t="s">
        <v>20</v>
      </c>
      <c r="C17" s="11">
        <v>46213</v>
      </c>
      <c r="D17" s="37">
        <v>27</v>
      </c>
      <c r="E17" s="40"/>
      <c r="F17" s="39">
        <f>IF(E15=0,0,D17/E15)</f>
        <v>3.375</v>
      </c>
      <c r="G17" s="18"/>
      <c r="H17" s="19"/>
      <c r="I17" s="19"/>
      <c r="J17" s="12">
        <v>0.88</v>
      </c>
      <c r="K17" s="13">
        <f>2.52/J17*I15</f>
        <v>111.68181818181819</v>
      </c>
      <c r="L17" s="16"/>
    </row>
    <row r="18" spans="1:12">
      <c r="A18" s="17" t="s">
        <v>30</v>
      </c>
      <c r="B18" s="12" t="s">
        <v>31</v>
      </c>
      <c r="C18" s="11">
        <v>46206</v>
      </c>
      <c r="D18" s="37">
        <v>255</v>
      </c>
      <c r="E18" s="40">
        <v>8</v>
      </c>
      <c r="F18" s="39">
        <f>IF(E18=0,0,D18/E18)</f>
        <v>31.875</v>
      </c>
      <c r="G18" s="18">
        <f>IF(E18=0,0,SUMPRODUCT(F18:F24,J18:J24)/(I18*2.52))</f>
        <v>2.7556390977443614</v>
      </c>
      <c r="H18" s="19">
        <f>G18*I18*E18</f>
        <v>837.71428571428589</v>
      </c>
      <c r="I18" s="19">
        <v>38</v>
      </c>
      <c r="J18" s="12">
        <v>0.2</v>
      </c>
      <c r="K18" s="13">
        <f>2.52/J18*I18</f>
        <v>478.8</v>
      </c>
      <c r="L18" s="16">
        <f>E18*I18</f>
        <v>304</v>
      </c>
    </row>
    <row r="19" spans="1:12">
      <c r="A19" s="17"/>
      <c r="B19" s="12" t="s">
        <v>32</v>
      </c>
      <c r="C19" s="11">
        <v>46206</v>
      </c>
      <c r="D19" s="37">
        <v>1440</v>
      </c>
      <c r="E19" s="40"/>
      <c r="F19" s="39">
        <f>IF(E18=0,0,D19/E18)</f>
        <v>180</v>
      </c>
      <c r="G19" s="18"/>
      <c r="H19" s="19"/>
      <c r="I19" s="19"/>
      <c r="J19" s="12">
        <v>0.2</v>
      </c>
      <c r="K19" s="13">
        <f>2.52/J19*I18</f>
        <v>478.8</v>
      </c>
      <c r="L19" s="16"/>
    </row>
    <row r="20" spans="1:12">
      <c r="A20" s="17"/>
      <c r="B20" s="12" t="s">
        <v>33</v>
      </c>
      <c r="C20" s="11">
        <v>46206</v>
      </c>
      <c r="D20" s="37">
        <v>4416</v>
      </c>
      <c r="E20" s="40"/>
      <c r="F20" s="39">
        <f>IF(E18=0,0,D20/E18)</f>
        <v>552</v>
      </c>
      <c r="G20" s="18"/>
      <c r="H20" s="19"/>
      <c r="I20" s="19"/>
      <c r="J20" s="12">
        <v>0.2</v>
      </c>
      <c r="K20" s="13">
        <f>2.52/J20*I18</f>
        <v>478.8</v>
      </c>
      <c r="L20" s="16"/>
    </row>
    <row r="21" spans="1:12">
      <c r="A21" s="17"/>
      <c r="B21" s="12" t="s">
        <v>34</v>
      </c>
      <c r="C21" s="11">
        <v>46206</v>
      </c>
      <c r="D21" s="37">
        <v>4377</v>
      </c>
      <c r="E21" s="40"/>
      <c r="F21" s="39">
        <f>IF(E18=0,0,D21/E18)</f>
        <v>547.125</v>
      </c>
      <c r="G21" s="18"/>
      <c r="H21" s="19"/>
      <c r="I21" s="19"/>
      <c r="J21" s="12">
        <v>0.2</v>
      </c>
      <c r="K21" s="13">
        <f>2.52/J21*I18</f>
        <v>478.8</v>
      </c>
      <c r="L21" s="16"/>
    </row>
    <row r="22" spans="1:12">
      <c r="A22" s="17"/>
      <c r="B22" s="12" t="s">
        <v>35</v>
      </c>
      <c r="C22" s="11">
        <v>46206</v>
      </c>
      <c r="D22" s="37">
        <v>0</v>
      </c>
      <c r="E22" s="40"/>
      <c r="F22" s="39">
        <f>IF(E18=0,0,D22/E18)</f>
        <v>0</v>
      </c>
      <c r="G22" s="18"/>
      <c r="H22" s="19"/>
      <c r="I22" s="19"/>
      <c r="J22" s="12">
        <v>0.21</v>
      </c>
      <c r="K22" s="13">
        <f>2.52/J22*I18</f>
        <v>456</v>
      </c>
      <c r="L22" s="16"/>
    </row>
    <row r="23" spans="1:12">
      <c r="A23" s="17"/>
      <c r="B23" s="12" t="s">
        <v>36</v>
      </c>
      <c r="C23" s="11">
        <v>46206</v>
      </c>
      <c r="D23" s="37">
        <v>36</v>
      </c>
      <c r="E23" s="40"/>
      <c r="F23" s="39">
        <f>IF(E18=0,0,D23/E18)</f>
        <v>4.5</v>
      </c>
      <c r="G23" s="18"/>
      <c r="H23" s="19"/>
      <c r="I23" s="19"/>
      <c r="J23" s="12">
        <v>0.21</v>
      </c>
      <c r="K23" s="13">
        <f>2.52/J23*I18</f>
        <v>456</v>
      </c>
      <c r="L23" s="16"/>
    </row>
    <row r="24" spans="1:12">
      <c r="A24" s="17"/>
      <c r="B24" s="12" t="s">
        <v>37</v>
      </c>
      <c r="C24" s="11">
        <v>46206</v>
      </c>
      <c r="D24" s="37">
        <v>28</v>
      </c>
      <c r="E24" s="40"/>
      <c r="F24" s="39">
        <f>IF(E18=0,0,D24/E18)</f>
        <v>3.5</v>
      </c>
      <c r="G24" s="18"/>
      <c r="H24" s="19"/>
      <c r="I24" s="19"/>
      <c r="J24" s="12">
        <v>0.21</v>
      </c>
      <c r="K24" s="13">
        <f>2.52/J24*I18</f>
        <v>456</v>
      </c>
      <c r="L24" s="16"/>
    </row>
    <row r="25" spans="1:12">
      <c r="A25" s="17" t="s">
        <v>38</v>
      </c>
      <c r="B25" s="10" t="s">
        <v>39</v>
      </c>
      <c r="C25" s="11"/>
      <c r="D25" s="37">
        <v>0</v>
      </c>
      <c r="E25" s="40">
        <v>8</v>
      </c>
      <c r="F25" s="39">
        <f>IF(E25=0,0,D25/E25)</f>
        <v>0</v>
      </c>
      <c r="G25" s="18">
        <f>IF(E25=0,0,SUMPRODUCT(F25:F26,J25:J26)/(I25*2.52))</f>
        <v>1.5835210210210209</v>
      </c>
      <c r="H25" s="19">
        <f>G25*I25*E25</f>
        <v>468.72222222222217</v>
      </c>
      <c r="I25" s="19">
        <v>37</v>
      </c>
      <c r="J25" s="12">
        <v>0.56000000000000005</v>
      </c>
      <c r="K25" s="13">
        <f>2.52/J25*I25</f>
        <v>166.5</v>
      </c>
      <c r="L25" s="16">
        <f>E25*I25</f>
        <v>296</v>
      </c>
    </row>
    <row r="26" spans="1:12">
      <c r="A26" s="17"/>
      <c r="B26" s="10" t="s">
        <v>40</v>
      </c>
      <c r="C26" s="11">
        <v>46238</v>
      </c>
      <c r="D26" s="37">
        <v>2002</v>
      </c>
      <c r="E26" s="40"/>
      <c r="F26" s="39">
        <f>IF(E25=0,0,D26/E25)</f>
        <v>250.25</v>
      </c>
      <c r="G26" s="18"/>
      <c r="H26" s="19"/>
      <c r="I26" s="19"/>
      <c r="J26" s="12">
        <v>0.59</v>
      </c>
      <c r="K26" s="13">
        <f>2.52/J26*I25</f>
        <v>158.03389830508476</v>
      </c>
      <c r="L26" s="16"/>
    </row>
    <row r="27" spans="1:12">
      <c r="A27" s="17" t="s">
        <v>41</v>
      </c>
      <c r="B27" s="10" t="s">
        <v>42</v>
      </c>
      <c r="C27" s="11"/>
      <c r="D27" s="37">
        <v>0</v>
      </c>
      <c r="E27" s="40">
        <v>8</v>
      </c>
      <c r="F27" s="39">
        <f>IF(E27=0,0,D27/E27)</f>
        <v>0</v>
      </c>
      <c r="G27" s="18">
        <f>IF(E27=0,0,SUMPRODUCT(F27:F28,J27:J28)/(I27*2.52))</f>
        <v>1.0633267195767198</v>
      </c>
      <c r="H27" s="19">
        <f>G27*I27*E27</f>
        <v>255.19841269841274</v>
      </c>
      <c r="I27" s="19">
        <v>30</v>
      </c>
      <c r="J27" s="12">
        <v>1.06</v>
      </c>
      <c r="K27" s="13">
        <f>2.52/J27*I27</f>
        <v>71.320754716981128</v>
      </c>
      <c r="L27" s="16">
        <f>E27*I27</f>
        <v>240</v>
      </c>
    </row>
    <row r="28" spans="1:12">
      <c r="A28" s="17"/>
      <c r="B28" s="10" t="s">
        <v>40</v>
      </c>
      <c r="C28" s="11">
        <v>46238</v>
      </c>
      <c r="D28" s="37">
        <v>1090</v>
      </c>
      <c r="E28" s="40"/>
      <c r="F28" s="39">
        <f>IF(E27=0,0,D28/E27)</f>
        <v>136.25</v>
      </c>
      <c r="G28" s="18"/>
      <c r="H28" s="19"/>
      <c r="I28" s="19"/>
      <c r="J28" s="12">
        <v>0.59</v>
      </c>
      <c r="K28" s="13">
        <f>2.52/J28*I27</f>
        <v>128.13559322033899</v>
      </c>
      <c r="L28" s="16"/>
    </row>
    <row r="29" spans="1:12">
      <c r="A29" s="17" t="s">
        <v>43</v>
      </c>
      <c r="B29" s="10" t="s">
        <v>44</v>
      </c>
      <c r="C29" s="11">
        <v>46246</v>
      </c>
      <c r="D29" s="37">
        <v>479</v>
      </c>
      <c r="E29" s="40">
        <v>8</v>
      </c>
      <c r="F29" s="39">
        <f>IF(E29=0,0,D29/E29)</f>
        <v>59.875</v>
      </c>
      <c r="G29" s="18">
        <f>IF(E29=0,0,SUMPRODUCT(F29:F30,J29:J30)/(I29*2.52))</f>
        <v>0.93755362505362516</v>
      </c>
      <c r="H29" s="19">
        <f>G29*I29*E29</f>
        <v>277.51587301587307</v>
      </c>
      <c r="I29" s="19">
        <v>37</v>
      </c>
      <c r="J29" s="12">
        <v>1.46</v>
      </c>
      <c r="K29" s="13">
        <f>2.52/J29*I29</f>
        <v>63.863013698630141</v>
      </c>
      <c r="L29" s="16">
        <f>E29*I29</f>
        <v>296</v>
      </c>
    </row>
    <row r="30" spans="1:12">
      <c r="A30" s="17"/>
      <c r="B30" s="10" t="s">
        <v>45</v>
      </c>
      <c r="C30" s="11">
        <v>46255</v>
      </c>
      <c r="D30" s="37">
        <v>0</v>
      </c>
      <c r="E30" s="40"/>
      <c r="F30" s="39">
        <f>IF(E29=0,0,D30/E29)</f>
        <v>0</v>
      </c>
      <c r="G30" s="18"/>
      <c r="H30" s="19"/>
      <c r="I30" s="19"/>
      <c r="J30" s="12">
        <v>0.66</v>
      </c>
      <c r="K30" s="13">
        <f>2.52/J30*I29</f>
        <v>141.27272727272725</v>
      </c>
      <c r="L30" s="16"/>
    </row>
    <row r="31" spans="1:12">
      <c r="A31" s="9" t="s">
        <v>46</v>
      </c>
      <c r="B31" s="10" t="s">
        <v>47</v>
      </c>
      <c r="C31" s="11">
        <v>46227</v>
      </c>
      <c r="D31" s="37">
        <v>1409</v>
      </c>
      <c r="E31" s="38">
        <v>8</v>
      </c>
      <c r="F31" s="39">
        <f>IF(E31=0,0,D31/E31)</f>
        <v>176.125</v>
      </c>
      <c r="G31" s="14">
        <f>IF(E31=0,0,SUMPRODUCT(F31:F31,J31:J31)/(I31*2.52))</f>
        <v>1.7472718253968256</v>
      </c>
      <c r="H31" s="15">
        <f>G31*I31*E31</f>
        <v>503.21428571428578</v>
      </c>
      <c r="I31" s="15">
        <v>36</v>
      </c>
      <c r="J31" s="12">
        <v>0.9</v>
      </c>
      <c r="K31" s="13">
        <f>2.52/J31*I31</f>
        <v>100.8</v>
      </c>
      <c r="L31" s="16">
        <f>E31*I31</f>
        <v>288</v>
      </c>
    </row>
    <row r="32" spans="1:12">
      <c r="A32" s="17" t="s">
        <v>48</v>
      </c>
      <c r="B32" s="10" t="s">
        <v>49</v>
      </c>
      <c r="C32" s="11">
        <v>46202</v>
      </c>
      <c r="D32" s="37">
        <v>213</v>
      </c>
      <c r="E32" s="40">
        <v>8</v>
      </c>
      <c r="F32" s="39">
        <f>IF(E32=0,0,D32/E32)</f>
        <v>26.625</v>
      </c>
      <c r="G32" s="18">
        <f>IF(E32=0,0,SUMPRODUCT(F32:F33,J32:J33)/(I32*2.52))</f>
        <v>0.30649250440917108</v>
      </c>
      <c r="H32" s="19">
        <f>G32*I32*E32</f>
        <v>88.269841269841265</v>
      </c>
      <c r="I32" s="19">
        <v>36</v>
      </c>
      <c r="J32" s="12">
        <v>0.86</v>
      </c>
      <c r="K32" s="13">
        <f>2.52/J32*I32</f>
        <v>105.48837209302326</v>
      </c>
      <c r="L32" s="16">
        <f>E32*I32</f>
        <v>288</v>
      </c>
    </row>
    <row r="33" spans="1:12">
      <c r="A33" s="17"/>
      <c r="B33" s="10" t="s">
        <v>50</v>
      </c>
      <c r="C33" s="11">
        <v>46246</v>
      </c>
      <c r="D33" s="37">
        <v>26</v>
      </c>
      <c r="E33" s="40"/>
      <c r="F33" s="39">
        <f>IF(E32=0,0,D33/E32)</f>
        <v>3.25</v>
      </c>
      <c r="G33" s="18"/>
      <c r="H33" s="19"/>
      <c r="I33" s="19"/>
      <c r="J33" s="12">
        <v>1.51</v>
      </c>
      <c r="K33" s="13">
        <f>2.52/J33*I32</f>
        <v>60.079470198675502</v>
      </c>
      <c r="L33" s="16"/>
    </row>
    <row r="34" spans="1:12">
      <c r="A34" s="17" t="s">
        <v>51</v>
      </c>
      <c r="B34" s="10" t="s">
        <v>22</v>
      </c>
      <c r="C34" s="11">
        <v>46253</v>
      </c>
      <c r="D34" s="37">
        <v>365</v>
      </c>
      <c r="E34" s="40">
        <v>8</v>
      </c>
      <c r="F34" s="39">
        <f>IF(E34=0,0,D34/E34)</f>
        <v>45.625</v>
      </c>
      <c r="G34" s="18">
        <f>IF(E34=0,0,SUMPRODUCT(F34:F35,J34:J35)/(I34*2.52))</f>
        <v>0.70038377192982448</v>
      </c>
      <c r="H34" s="19">
        <f>G34*I34*E34</f>
        <v>212.91666666666663</v>
      </c>
      <c r="I34" s="19">
        <v>38</v>
      </c>
      <c r="J34" s="12">
        <v>1.47</v>
      </c>
      <c r="K34" s="13">
        <f>2.52/J34*I34</f>
        <v>65.142857142857153</v>
      </c>
      <c r="L34" s="16">
        <f>E34*I34</f>
        <v>304</v>
      </c>
    </row>
    <row r="35" spans="1:12">
      <c r="A35" s="17"/>
      <c r="B35" s="10" t="s">
        <v>22</v>
      </c>
      <c r="C35" s="11">
        <v>46253</v>
      </c>
      <c r="D35" s="37">
        <v>0</v>
      </c>
      <c r="E35" s="40"/>
      <c r="F35" s="39">
        <f>IF(E34=0,0,D35/E34)</f>
        <v>0</v>
      </c>
      <c r="G35" s="18"/>
      <c r="H35" s="19"/>
      <c r="I35" s="19"/>
      <c r="J35" s="12">
        <v>1.51</v>
      </c>
      <c r="K35" s="13">
        <f>2.52/J35*I34</f>
        <v>63.41721854304636</v>
      </c>
      <c r="L35" s="16"/>
    </row>
    <row r="36" spans="1:12">
      <c r="A36" s="9" t="s">
        <v>52</v>
      </c>
      <c r="B36" s="10" t="s">
        <v>24</v>
      </c>
      <c r="C36" s="11">
        <v>46122</v>
      </c>
      <c r="D36" s="37">
        <v>1450</v>
      </c>
      <c r="E36" s="38">
        <v>8</v>
      </c>
      <c r="F36" s="39">
        <f>IF(E36=0,0,D36/E36)</f>
        <v>181.25</v>
      </c>
      <c r="G36" s="14">
        <f>IF(E36=0,0,SUMPRODUCT(F36:F36,J36:J36)/(I36*2.52))</f>
        <v>1.9364316239316239</v>
      </c>
      <c r="H36" s="15">
        <f>G36*I36*E36</f>
        <v>604.16666666666663</v>
      </c>
      <c r="I36" s="15">
        <v>39</v>
      </c>
      <c r="J36" s="12">
        <v>1.05</v>
      </c>
      <c r="K36" s="13">
        <f>2.52/J36*I36</f>
        <v>93.6</v>
      </c>
      <c r="L36" s="16">
        <f>E36*I36</f>
        <v>312</v>
      </c>
    </row>
    <row r="37" spans="1:12">
      <c r="A37" s="9" t="s">
        <v>53</v>
      </c>
      <c r="B37" s="10" t="s">
        <v>14</v>
      </c>
      <c r="C37" s="11">
        <v>46244</v>
      </c>
      <c r="D37" s="37">
        <v>1289</v>
      </c>
      <c r="E37" s="38">
        <v>8</v>
      </c>
      <c r="F37" s="39">
        <f>IF(E37=0,0,D37/E37)</f>
        <v>161.125</v>
      </c>
      <c r="G37" s="14">
        <f>IF(E37=0,0,SUMPRODUCT(F37:F37,J37:J37)/(I37*2.52))</f>
        <v>1.312421679197995</v>
      </c>
      <c r="H37" s="15">
        <f>G37*I37*E37</f>
        <v>398.97619047619048</v>
      </c>
      <c r="I37" s="15">
        <v>38</v>
      </c>
      <c r="J37" s="12">
        <v>0.78</v>
      </c>
      <c r="K37" s="13">
        <f>2.52/J37*I37</f>
        <v>122.76923076923077</v>
      </c>
      <c r="L37" s="16">
        <f>E37*I37</f>
        <v>304</v>
      </c>
    </row>
    <row r="38" spans="1:12">
      <c r="A38" s="17" t="s">
        <v>54</v>
      </c>
      <c r="B38" s="10" t="s">
        <v>24</v>
      </c>
      <c r="C38" s="11">
        <v>46119</v>
      </c>
      <c r="D38" s="37">
        <v>754</v>
      </c>
      <c r="E38" s="40">
        <v>8</v>
      </c>
      <c r="F38" s="39">
        <f>IF(E38=0,0,D38/E38)</f>
        <v>94.25</v>
      </c>
      <c r="G38" s="18">
        <f>IF(E38=0,0,SUMPRODUCT(F38:F39,J38:J39)/(I38*2.52))</f>
        <v>1.7065972222222219</v>
      </c>
      <c r="H38" s="19">
        <f>G38*I38*E38</f>
        <v>518.80555555555543</v>
      </c>
      <c r="I38" s="19">
        <v>38</v>
      </c>
      <c r="J38" s="12">
        <v>1.05</v>
      </c>
      <c r="K38" s="13">
        <f>2.52/J38*I38</f>
        <v>91.2</v>
      </c>
      <c r="L38" s="16">
        <f>E38*I38</f>
        <v>304</v>
      </c>
    </row>
    <row r="39" spans="1:12">
      <c r="A39" s="17"/>
      <c r="B39" s="10" t="s">
        <v>55</v>
      </c>
      <c r="C39" s="11">
        <v>46210</v>
      </c>
      <c r="D39" s="37">
        <v>371</v>
      </c>
      <c r="E39" s="40"/>
      <c r="F39" s="39">
        <f>IF(E38=0,0,D39/E38)</f>
        <v>46.375</v>
      </c>
      <c r="G39" s="18"/>
      <c r="H39" s="19"/>
      <c r="I39" s="19"/>
      <c r="J39" s="12">
        <v>1.39</v>
      </c>
      <c r="K39" s="13">
        <f>2.52/J39*I38</f>
        <v>68.892086330935257</v>
      </c>
      <c r="L39" s="16"/>
    </row>
    <row r="40" spans="1:12">
      <c r="A40" s="9" t="s">
        <v>56</v>
      </c>
      <c r="B40" s="10" t="s">
        <v>47</v>
      </c>
      <c r="C40" s="11">
        <v>46227</v>
      </c>
      <c r="D40" s="37">
        <v>1561</v>
      </c>
      <c r="E40" s="38">
        <v>8</v>
      </c>
      <c r="F40" s="39">
        <f>IF(E40=0,0,D40/E40)</f>
        <v>195.125</v>
      </c>
      <c r="G40" s="14">
        <f>IF(E40=0,0,SUMPRODUCT(F40:F40,J40:J40)/(I40*2.52))</f>
        <v>1.8338815789473684</v>
      </c>
      <c r="H40" s="15">
        <f>G40*I40*E40</f>
        <v>557.5</v>
      </c>
      <c r="I40" s="15">
        <v>38</v>
      </c>
      <c r="J40" s="12">
        <v>0.9</v>
      </c>
      <c r="K40" s="13">
        <f>2.52/J40*I40</f>
        <v>106.39999999999999</v>
      </c>
      <c r="L40" s="16">
        <f>E40*I40</f>
        <v>304</v>
      </c>
    </row>
    <row r="41" spans="1:12">
      <c r="A41" s="17" t="s">
        <v>57</v>
      </c>
      <c r="B41" s="10" t="s">
        <v>26</v>
      </c>
      <c r="C41" s="11">
        <v>46221</v>
      </c>
      <c r="D41" s="37">
        <v>583</v>
      </c>
      <c r="E41" s="40">
        <v>8</v>
      </c>
      <c r="F41" s="39">
        <f>IF(E41=0,0,D41/E41)</f>
        <v>72.875</v>
      </c>
      <c r="G41" s="18">
        <f>IF(E41=0,0,SUMPRODUCT(F41:F42,J41:J42)/(I41*2.52))</f>
        <v>0.97976994851994847</v>
      </c>
      <c r="H41" s="19">
        <f>G41*I41*E41</f>
        <v>290.01190476190476</v>
      </c>
      <c r="I41" s="19">
        <v>37</v>
      </c>
      <c r="J41" s="12">
        <v>1.21</v>
      </c>
      <c r="K41" s="13">
        <f>2.52/J41*I41</f>
        <v>77.057851239669432</v>
      </c>
      <c r="L41" s="16">
        <f>E41*I41</f>
        <v>296</v>
      </c>
    </row>
    <row r="42" spans="1:12">
      <c r="A42" s="17"/>
      <c r="B42" s="10" t="s">
        <v>58</v>
      </c>
      <c r="C42" s="11">
        <v>46255</v>
      </c>
      <c r="D42" s="37">
        <v>20</v>
      </c>
      <c r="E42" s="40"/>
      <c r="F42" s="39">
        <f>IF(E41=0,0,D42/E41)</f>
        <v>2.5</v>
      </c>
      <c r="G42" s="18"/>
      <c r="H42" s="19"/>
      <c r="I42" s="19"/>
      <c r="J42" s="12">
        <v>1.27</v>
      </c>
      <c r="K42" s="13">
        <f>2.52/J42*I41</f>
        <v>73.417322834645674</v>
      </c>
      <c r="L42" s="16"/>
    </row>
    <row r="43" spans="1:12">
      <c r="A43" s="20" t="s">
        <v>59</v>
      </c>
      <c r="B43" s="21"/>
      <c r="C43" s="22"/>
      <c r="D43" s="23">
        <f>SUM(D5:D42)</f>
        <v>30199</v>
      </c>
      <c r="E43" s="24">
        <f>SUM(E5:E42)</f>
        <v>160</v>
      </c>
      <c r="F43" s="25"/>
      <c r="G43" s="26">
        <f>SUM(H5:H42)/L43</f>
        <v>1.3930099233270876</v>
      </c>
      <c r="H43" s="23"/>
      <c r="I43" s="23">
        <f>SUM(I5:I42)</f>
        <v>737</v>
      </c>
      <c r="J43" s="23"/>
      <c r="K43" s="25"/>
      <c r="L43" s="27">
        <f>SUM(L5:L42)</f>
        <v>5896</v>
      </c>
    </row>
    <row r="44" spans="1:12" ht="13.5" thickBot="1">
      <c r="A44" s="28" t="s">
        <v>60</v>
      </c>
      <c r="B44" s="29"/>
      <c r="C44" s="30"/>
      <c r="D44" s="31">
        <f>SUMIF(A5:A43, "&lt;&gt;Summary", D5:D43)</f>
        <v>30199</v>
      </c>
      <c r="E44" s="32">
        <f>SUMIF(A5:A43, "&lt;&gt;Summary", E5:E43)</f>
        <v>160</v>
      </c>
      <c r="F44" s="33"/>
      <c r="G44" s="34">
        <f>SUMIF(A5:A43, "&lt;&gt;Summary", H5:H43)/L44</f>
        <v>1.3930099233270876</v>
      </c>
      <c r="H44" s="31"/>
      <c r="I44" s="31">
        <f>SUMIF(A5:A43, "&lt;&gt;Summary", I5:I43)</f>
        <v>737</v>
      </c>
      <c r="J44" s="31"/>
      <c r="K44" s="33"/>
      <c r="L44" s="35">
        <f>SUMIF(A5:A43, "&lt;&gt;Summary", L5:L43)</f>
        <v>5896</v>
      </c>
    </row>
    <row r="45" spans="1:12" ht="13.5" thickTop="1"/>
    <row r="46" spans="1:12">
      <c r="C46" s="36" t="s">
        <v>61</v>
      </c>
      <c r="D46" s="36">
        <f>SUM(H5:H11)/SUM(L5:L11)</f>
        <v>1.3091931216931214</v>
      </c>
    </row>
    <row r="47" spans="1:12">
      <c r="C47" s="36" t="s">
        <v>62</v>
      </c>
      <c r="D47" s="36">
        <f>SUM(H12:H26)/SUM(L12:L26)</f>
        <v>1.7312515915457094</v>
      </c>
    </row>
    <row r="48" spans="1:12">
      <c r="C48" s="36" t="s">
        <v>63</v>
      </c>
      <c r="D48" s="36">
        <f>SUM(H27:H35)/SUM(L27:L35)</f>
        <v>0.94429031028607313</v>
      </c>
    </row>
    <row r="49" spans="3:4">
      <c r="C49" s="36" t="s">
        <v>64</v>
      </c>
      <c r="D49" s="36">
        <f>SUM(H36:H42)/SUM(L36:L42)</f>
        <v>1.5588554720133665</v>
      </c>
    </row>
  </sheetData>
  <mergeCells count="74">
    <mergeCell ref="A43:C43"/>
    <mergeCell ref="A44:C44"/>
    <mergeCell ref="A38:A39"/>
    <mergeCell ref="E38:E39"/>
    <mergeCell ref="G38:G39"/>
    <mergeCell ref="H38:H39"/>
    <mergeCell ref="I38:I39"/>
    <mergeCell ref="A41:A42"/>
    <mergeCell ref="E41:E42"/>
    <mergeCell ref="G41:G42"/>
    <mergeCell ref="H41:H42"/>
    <mergeCell ref="I41:I42"/>
    <mergeCell ref="A32:A33"/>
    <mergeCell ref="E32:E33"/>
    <mergeCell ref="G32:G33"/>
    <mergeCell ref="H32:H33"/>
    <mergeCell ref="I32:I33"/>
    <mergeCell ref="A34:A35"/>
    <mergeCell ref="E34:E35"/>
    <mergeCell ref="G34:G35"/>
    <mergeCell ref="H34:H35"/>
    <mergeCell ref="I34:I35"/>
    <mergeCell ref="A27:A28"/>
    <mergeCell ref="E27:E28"/>
    <mergeCell ref="G27:G28"/>
    <mergeCell ref="H27:H28"/>
    <mergeCell ref="I27:I28"/>
    <mergeCell ref="A29:A30"/>
    <mergeCell ref="E29:E30"/>
    <mergeCell ref="G29:G30"/>
    <mergeCell ref="H29:H30"/>
    <mergeCell ref="I29:I30"/>
    <mergeCell ref="A18:A24"/>
    <mergeCell ref="E18:E24"/>
    <mergeCell ref="G18:G24"/>
    <mergeCell ref="H18:H24"/>
    <mergeCell ref="I18:I24"/>
    <mergeCell ref="A25:A26"/>
    <mergeCell ref="E25:E26"/>
    <mergeCell ref="G25:G26"/>
    <mergeCell ref="H25:H26"/>
    <mergeCell ref="I25:I26"/>
    <mergeCell ref="A13:A14"/>
    <mergeCell ref="E13:E14"/>
    <mergeCell ref="G13:G14"/>
    <mergeCell ref="H13:H14"/>
    <mergeCell ref="I13:I14"/>
    <mergeCell ref="A15:A17"/>
    <mergeCell ref="E15:E17"/>
    <mergeCell ref="G15:G17"/>
    <mergeCell ref="H15:H17"/>
    <mergeCell ref="I15:I17"/>
    <mergeCell ref="A6:A7"/>
    <mergeCell ref="E6:E7"/>
    <mergeCell ref="G6:G7"/>
    <mergeCell ref="H6:H7"/>
    <mergeCell ref="I6:I7"/>
    <mergeCell ref="A9:A10"/>
    <mergeCell ref="E9:E10"/>
    <mergeCell ref="G9:G10"/>
    <mergeCell ref="H9:H10"/>
    <mergeCell ref="I9:I10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2" right="0.2" top="1" bottom="0.2" header="0.2" footer="0.2"/>
  <pageSetup paperSize="9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2026-08-24T00:55:56Z</dcterms:created>
  <dcterms:modified xsi:type="dcterms:W3CDTF">2026-08-24T00:58:55Z</dcterms:modified>
</cp:coreProperties>
</file>