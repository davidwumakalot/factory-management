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6" i="1"/>
  <c r="D45"/>
  <c r="D44"/>
  <c r="D43"/>
  <c r="I41"/>
  <c r="E41"/>
  <c r="D41"/>
  <c r="I40"/>
  <c r="E40"/>
  <c r="D40"/>
  <c r="L39"/>
  <c r="G39"/>
  <c r="H39" s="1"/>
  <c r="K39"/>
  <c r="F39"/>
  <c r="L38"/>
  <c r="G38"/>
  <c r="H38" s="1"/>
  <c r="K38"/>
  <c r="F38"/>
  <c r="L37"/>
  <c r="K37"/>
  <c r="F37"/>
  <c r="G37" s="1"/>
  <c r="H37" s="1"/>
  <c r="L35"/>
  <c r="K36"/>
  <c r="F36"/>
  <c r="K35"/>
  <c r="F35"/>
  <c r="G35" s="1"/>
  <c r="H35" s="1"/>
  <c r="L34"/>
  <c r="K34"/>
  <c r="F34"/>
  <c r="G34" s="1"/>
  <c r="H34" s="1"/>
  <c r="L33"/>
  <c r="K33"/>
  <c r="F33"/>
  <c r="G33" s="1"/>
  <c r="H33" s="1"/>
  <c r="L30"/>
  <c r="K32"/>
  <c r="F32"/>
  <c r="K31"/>
  <c r="F31"/>
  <c r="G30" s="1"/>
  <c r="H30" s="1"/>
  <c r="K30"/>
  <c r="F30"/>
  <c r="L29"/>
  <c r="H29"/>
  <c r="G29"/>
  <c r="K29"/>
  <c r="F29"/>
  <c r="L27"/>
  <c r="K28"/>
  <c r="F28"/>
  <c r="K27"/>
  <c r="F27"/>
  <c r="G27" s="1"/>
  <c r="H27" s="1"/>
  <c r="L24"/>
  <c r="K26"/>
  <c r="F26"/>
  <c r="K25"/>
  <c r="F25"/>
  <c r="G24" s="1"/>
  <c r="H24" s="1"/>
  <c r="K24"/>
  <c r="F24"/>
  <c r="L21"/>
  <c r="K23"/>
  <c r="F23"/>
  <c r="K22"/>
  <c r="F22"/>
  <c r="K21"/>
  <c r="F21"/>
  <c r="G21" s="1"/>
  <c r="H21" s="1"/>
  <c r="L14"/>
  <c r="K20"/>
  <c r="F20"/>
  <c r="K19"/>
  <c r="F19"/>
  <c r="K18"/>
  <c r="F18"/>
  <c r="K17"/>
  <c r="F17"/>
  <c r="K16"/>
  <c r="F16"/>
  <c r="K15"/>
  <c r="F15"/>
  <c r="K14"/>
  <c r="F14"/>
  <c r="G14" s="1"/>
  <c r="H14" s="1"/>
  <c r="L12"/>
  <c r="K13"/>
  <c r="F13"/>
  <c r="K12"/>
  <c r="F12"/>
  <c r="G12" s="1"/>
  <c r="H12" s="1"/>
  <c r="L11"/>
  <c r="K11"/>
  <c r="F11"/>
  <c r="G11" s="1"/>
  <c r="H11" s="1"/>
  <c r="L10"/>
  <c r="G10"/>
  <c r="H10" s="1"/>
  <c r="K10"/>
  <c r="F10"/>
  <c r="L9"/>
  <c r="H9"/>
  <c r="G9"/>
  <c r="K9"/>
  <c r="F9"/>
  <c r="L8"/>
  <c r="K8"/>
  <c r="F8"/>
  <c r="G8" s="1"/>
  <c r="H8" s="1"/>
  <c r="L7"/>
  <c r="K7"/>
  <c r="F7"/>
  <c r="G7" s="1"/>
  <c r="H7" s="1"/>
  <c r="L6"/>
  <c r="L40" s="1"/>
  <c r="G40" s="1"/>
  <c r="G6"/>
  <c r="H6" s="1"/>
  <c r="K6"/>
  <c r="F6"/>
  <c r="L5"/>
  <c r="H5"/>
  <c r="G5"/>
  <c r="K5"/>
  <c r="F5"/>
  <c r="L41" l="1"/>
  <c r="G41" s="1"/>
</calcChain>
</file>

<file path=xl/sharedStrings.xml><?xml version="1.0" encoding="utf-8"?>
<sst xmlns="http://schemas.openxmlformats.org/spreadsheetml/2006/main" count="74" uniqueCount="59">
  <si>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</si>
  <si>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</si>
  <si>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</si>
  <si>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</si>
  <si>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</si>
  <si>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</si>
  <si>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</si>
  <si>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</si>
  <si>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</si>
  <si>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</si>
  <si>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</si>
  <si>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</si>
  <si>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</si>
  <si>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</si>
  <si>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</si>
  <si>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</si>
  <si>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</si>
  <si>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</si>
  <si>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</si>
  <si>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</si>
  <si>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CPM263TL32_26Q4</t>
  </si>
  <si>
    <t>6-05</t>
  </si>
  <si>
    <t>6-06</t>
  </si>
  <si>
    <t>777362_VMI</t>
  </si>
  <si>
    <t>6-07</t>
  </si>
  <si>
    <t>CPM263PA05_26Q4</t>
  </si>
  <si>
    <t>6-08</t>
  </si>
  <si>
    <t>766362_HO26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</si>
  <si>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</si>
  <si>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</si>
  <si>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</si>
  <si>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</si>
  <si>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</si>
  <si>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</si>
  <si>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</si>
  <si>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</si>
  <si>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</si>
  <si>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</si>
  <si>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1182719_HO26</t>
  </si>
  <si>
    <t>6-11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</si>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</sst>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>
      <pane ySplit="4" topLeftCell="A9" activePane="bottomLeft" state="frozen"/>
      <selection pane="bottomLeft" activeCell="D5" sqref="D5:F3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46238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1027</v>
      </c>
      <c r="E5" s="38">
        <v>8</v>
      </c>
      <c r="F5" s="39">
        <f t="shared" ref="F5:F12" si="0">IF(E5=0,0,D5/E5)</f>
        <v>128.375</v>
      </c>
      <c r="G5" s="8">
        <f t="shared" ref="G5:G11" si="1">IF(E5=0,0,SUMPRODUCT(F5:F5,J5:J5)/(I5*2.52))</f>
        <v>1.0739221364221365</v>
      </c>
      <c r="H5" s="9">
        <f t="shared" ref="H5:H12" si="2">G5*I5*E5</f>
        <v>317.88095238095241</v>
      </c>
      <c r="I5" s="9">
        <v>37</v>
      </c>
      <c r="J5" s="6">
        <v>0.78</v>
      </c>
      <c r="K5" s="7">
        <f t="shared" ref="K5:K12" si="3">2.52/J5*I5</f>
        <v>119.53846153846155</v>
      </c>
      <c r="L5" s="10">
        <f t="shared" ref="L5:L12" si="4">E5*I5</f>
        <v>296</v>
      </c>
    </row>
    <row r="6" spans="1:12">
      <c r="A6" s="3" t="s">
        <v>15</v>
      </c>
      <c r="B6" s="4" t="s">
        <v>16</v>
      </c>
      <c r="C6" s="5">
        <v>46176</v>
      </c>
      <c r="D6" s="37">
        <v>1408</v>
      </c>
      <c r="E6" s="38">
        <v>8</v>
      </c>
      <c r="F6" s="39">
        <f t="shared" si="0"/>
        <v>176</v>
      </c>
      <c r="G6" s="8">
        <f t="shared" si="1"/>
        <v>2.4250440917107583</v>
      </c>
      <c r="H6" s="9">
        <f t="shared" si="2"/>
        <v>698.41269841269843</v>
      </c>
      <c r="I6" s="9">
        <v>36</v>
      </c>
      <c r="J6" s="6">
        <v>1.25</v>
      </c>
      <c r="K6" s="7">
        <f t="shared" si="3"/>
        <v>72.575999999999993</v>
      </c>
      <c r="L6" s="10">
        <f t="shared" si="4"/>
        <v>288</v>
      </c>
    </row>
    <row r="7" spans="1:12">
      <c r="A7" s="3" t="s">
        <v>17</v>
      </c>
      <c r="B7" s="4" t="s">
        <v>18</v>
      </c>
      <c r="C7" s="5">
        <v>46224</v>
      </c>
      <c r="D7" s="37">
        <v>1324</v>
      </c>
      <c r="E7" s="38">
        <v>8</v>
      </c>
      <c r="F7" s="39">
        <f t="shared" si="0"/>
        <v>165.5</v>
      </c>
      <c r="G7" s="8">
        <f t="shared" si="1"/>
        <v>1.5554511278195489</v>
      </c>
      <c r="H7" s="9">
        <f t="shared" si="2"/>
        <v>472.85714285714283</v>
      </c>
      <c r="I7" s="9">
        <v>38</v>
      </c>
      <c r="J7" s="6">
        <v>0.9</v>
      </c>
      <c r="K7" s="7">
        <f t="shared" si="3"/>
        <v>106.39999999999999</v>
      </c>
      <c r="L7" s="10">
        <f t="shared" si="4"/>
        <v>304</v>
      </c>
    </row>
    <row r="8" spans="1:12">
      <c r="A8" s="3" t="s">
        <v>19</v>
      </c>
      <c r="B8" s="4" t="s">
        <v>20</v>
      </c>
      <c r="C8" s="5">
        <v>46228</v>
      </c>
      <c r="D8" s="37">
        <v>1240</v>
      </c>
      <c r="E8" s="38">
        <v>8</v>
      </c>
      <c r="F8" s="39">
        <f t="shared" si="0"/>
        <v>155</v>
      </c>
      <c r="G8" s="8">
        <f t="shared" si="1"/>
        <v>1.4567669172932329</v>
      </c>
      <c r="H8" s="9">
        <f t="shared" si="2"/>
        <v>442.85714285714283</v>
      </c>
      <c r="I8" s="9">
        <v>38</v>
      </c>
      <c r="J8" s="6">
        <v>0.9</v>
      </c>
      <c r="K8" s="7">
        <f t="shared" si="3"/>
        <v>106.39999999999999</v>
      </c>
      <c r="L8" s="10">
        <f t="shared" si="4"/>
        <v>304</v>
      </c>
    </row>
    <row r="9" spans="1:12">
      <c r="A9" s="3" t="s">
        <v>21</v>
      </c>
      <c r="B9" s="4" t="s">
        <v>18</v>
      </c>
      <c r="C9" s="5">
        <v>46232</v>
      </c>
      <c r="D9" s="37">
        <v>1126</v>
      </c>
      <c r="E9" s="38">
        <v>8</v>
      </c>
      <c r="F9" s="39">
        <f t="shared" si="0"/>
        <v>140.75</v>
      </c>
      <c r="G9" s="8">
        <f t="shared" si="1"/>
        <v>1.3963293650793651</v>
      </c>
      <c r="H9" s="9">
        <f t="shared" si="2"/>
        <v>402.14285714285717</v>
      </c>
      <c r="I9" s="9">
        <v>36</v>
      </c>
      <c r="J9" s="6">
        <v>0.9</v>
      </c>
      <c r="K9" s="7">
        <f t="shared" si="3"/>
        <v>100.8</v>
      </c>
      <c r="L9" s="10">
        <f t="shared" si="4"/>
        <v>288</v>
      </c>
    </row>
    <row r="10" spans="1:12">
      <c r="A10" s="3" t="s">
        <v>22</v>
      </c>
      <c r="B10" s="4" t="s">
        <v>23</v>
      </c>
      <c r="C10" s="5">
        <v>46122</v>
      </c>
      <c r="D10" s="37">
        <v>1445</v>
      </c>
      <c r="E10" s="38">
        <v>8</v>
      </c>
      <c r="F10" s="39">
        <f t="shared" si="0"/>
        <v>180.625</v>
      </c>
      <c r="G10" s="8">
        <f t="shared" si="1"/>
        <v>2.0340653153153156</v>
      </c>
      <c r="H10" s="9">
        <f t="shared" si="2"/>
        <v>602.08333333333348</v>
      </c>
      <c r="I10" s="9">
        <v>37</v>
      </c>
      <c r="J10" s="6">
        <v>1.05</v>
      </c>
      <c r="K10" s="7">
        <f t="shared" si="3"/>
        <v>88.8</v>
      </c>
      <c r="L10" s="10">
        <f t="shared" si="4"/>
        <v>296</v>
      </c>
    </row>
    <row r="11" spans="1:12">
      <c r="A11" s="3" t="s">
        <v>24</v>
      </c>
      <c r="B11" s="4" t="s">
        <v>25</v>
      </c>
      <c r="C11" s="5">
        <v>46225</v>
      </c>
      <c r="D11" s="37">
        <v>827</v>
      </c>
      <c r="E11" s="38">
        <v>8</v>
      </c>
      <c r="F11" s="39">
        <f t="shared" si="0"/>
        <v>103.375</v>
      </c>
      <c r="G11" s="8">
        <f t="shared" si="1"/>
        <v>1.3415245602745602</v>
      </c>
      <c r="H11" s="9">
        <f t="shared" si="2"/>
        <v>397.09126984126982</v>
      </c>
      <c r="I11" s="9">
        <v>37</v>
      </c>
      <c r="J11" s="6">
        <v>1.21</v>
      </c>
      <c r="K11" s="7">
        <f t="shared" si="3"/>
        <v>77.057851239669432</v>
      </c>
      <c r="L11" s="10">
        <f t="shared" si="4"/>
        <v>296</v>
      </c>
    </row>
    <row r="12" spans="1:12">
      <c r="A12" s="24" t="s">
        <v>26</v>
      </c>
      <c r="B12" s="4" t="s">
        <v>27</v>
      </c>
      <c r="C12" s="5">
        <v>46213</v>
      </c>
      <c r="D12" s="37">
        <v>897</v>
      </c>
      <c r="E12" s="40">
        <v>8</v>
      </c>
      <c r="F12" s="39">
        <f t="shared" si="0"/>
        <v>112.125</v>
      </c>
      <c r="G12" s="25">
        <f>IF(E12=0,0,SUMPRODUCT(F12:F13,J12:J13)/(I12*2.52))</f>
        <v>1.6052239974937343</v>
      </c>
      <c r="H12" s="26">
        <f t="shared" si="2"/>
        <v>487.98809523809524</v>
      </c>
      <c r="I12" s="26">
        <v>38</v>
      </c>
      <c r="J12" s="6">
        <v>0.85</v>
      </c>
      <c r="K12" s="7">
        <f t="shared" si="3"/>
        <v>112.65882352941176</v>
      </c>
      <c r="L12" s="10">
        <f t="shared" si="4"/>
        <v>304</v>
      </c>
    </row>
    <row r="13" spans="1:12">
      <c r="A13" s="24"/>
      <c r="B13" s="4" t="s">
        <v>27</v>
      </c>
      <c r="C13" s="5">
        <v>46213</v>
      </c>
      <c r="D13" s="37">
        <v>531</v>
      </c>
      <c r="E13" s="40"/>
      <c r="F13" s="39">
        <f>IF(E12=0,0,D13/E12)</f>
        <v>66.375</v>
      </c>
      <c r="G13" s="25"/>
      <c r="H13" s="26"/>
      <c r="I13" s="26"/>
      <c r="J13" s="6">
        <v>0.88</v>
      </c>
      <c r="K13" s="7">
        <f>2.52/J13*I12</f>
        <v>108.81818181818183</v>
      </c>
      <c r="L13" s="10"/>
    </row>
    <row r="14" spans="1:12">
      <c r="A14" s="24" t="s">
        <v>28</v>
      </c>
      <c r="B14" s="6" t="s">
        <v>29</v>
      </c>
      <c r="C14" s="5">
        <v>46206</v>
      </c>
      <c r="D14" s="37">
        <v>38</v>
      </c>
      <c r="E14" s="40">
        <v>8</v>
      </c>
      <c r="F14" s="39">
        <f>IF(E14=0,0,D14/E14)</f>
        <v>4.75</v>
      </c>
      <c r="G14" s="25">
        <f>IF(E14=0,0,SUMPRODUCT(F14:F20,J14:J20)/(I14*2.52))</f>
        <v>2.9178598241098248</v>
      </c>
      <c r="H14" s="26">
        <f>G14*I14*E14</f>
        <v>863.68650793650818</v>
      </c>
      <c r="I14" s="26">
        <v>37</v>
      </c>
      <c r="J14" s="6">
        <v>0.2</v>
      </c>
      <c r="K14" s="7">
        <f>2.52/J14*I14</f>
        <v>466.2</v>
      </c>
      <c r="L14" s="10">
        <f>E14*I14</f>
        <v>296</v>
      </c>
    </row>
    <row r="15" spans="1:12">
      <c r="A15" s="24"/>
      <c r="B15" s="6" t="s">
        <v>30</v>
      </c>
      <c r="C15" s="5">
        <v>46206</v>
      </c>
      <c r="D15" s="37">
        <v>1890</v>
      </c>
      <c r="E15" s="40"/>
      <c r="F15" s="39">
        <f>IF(E14=0,0,D15/E14)</f>
        <v>236.25</v>
      </c>
      <c r="G15" s="25"/>
      <c r="H15" s="26"/>
      <c r="I15" s="26"/>
      <c r="J15" s="6">
        <v>0.2</v>
      </c>
      <c r="K15" s="7">
        <f>2.52/J15*I14</f>
        <v>466.2</v>
      </c>
      <c r="L15" s="10"/>
    </row>
    <row r="16" spans="1:12">
      <c r="A16" s="24"/>
      <c r="B16" s="6" t="s">
        <v>31</v>
      </c>
      <c r="C16" s="5">
        <v>46206</v>
      </c>
      <c r="D16" s="37">
        <v>26</v>
      </c>
      <c r="E16" s="40"/>
      <c r="F16" s="39">
        <f>IF(E14=0,0,D16/E14)</f>
        <v>3.25</v>
      </c>
      <c r="G16" s="25"/>
      <c r="H16" s="26"/>
      <c r="I16" s="26"/>
      <c r="J16" s="6">
        <v>0.2</v>
      </c>
      <c r="K16" s="7">
        <f>2.52/J16*I14</f>
        <v>466.2</v>
      </c>
      <c r="L16" s="10"/>
    </row>
    <row r="17" spans="1:12">
      <c r="A17" s="24"/>
      <c r="B17" s="6" t="s">
        <v>32</v>
      </c>
      <c r="C17" s="5">
        <v>46206</v>
      </c>
      <c r="D17" s="37">
        <v>1023</v>
      </c>
      <c r="E17" s="40"/>
      <c r="F17" s="39">
        <f>IF(E14=0,0,D17/E14)</f>
        <v>127.875</v>
      </c>
      <c r="G17" s="25"/>
      <c r="H17" s="26"/>
      <c r="I17" s="26"/>
      <c r="J17" s="6">
        <v>0.2</v>
      </c>
      <c r="K17" s="7">
        <f>2.52/J17*I14</f>
        <v>466.2</v>
      </c>
      <c r="L17" s="10"/>
    </row>
    <row r="18" spans="1:12">
      <c r="A18" s="24"/>
      <c r="B18" s="6" t="s">
        <v>33</v>
      </c>
      <c r="C18" s="5">
        <v>46206</v>
      </c>
      <c r="D18" s="37">
        <v>1616</v>
      </c>
      <c r="E18" s="40"/>
      <c r="F18" s="39">
        <f>IF(E14=0,0,D18/E14)</f>
        <v>202</v>
      </c>
      <c r="G18" s="25"/>
      <c r="H18" s="26"/>
      <c r="I18" s="26"/>
      <c r="J18" s="6">
        <v>0.21</v>
      </c>
      <c r="K18" s="7">
        <f>2.52/J18*I14</f>
        <v>444</v>
      </c>
      <c r="L18" s="10"/>
    </row>
    <row r="19" spans="1:12">
      <c r="A19" s="24"/>
      <c r="B19" s="6" t="s">
        <v>34</v>
      </c>
      <c r="C19" s="5">
        <v>46206</v>
      </c>
      <c r="D19" s="37">
        <v>3785</v>
      </c>
      <c r="E19" s="40"/>
      <c r="F19" s="39">
        <f>IF(E14=0,0,D19/E14)</f>
        <v>473.125</v>
      </c>
      <c r="G19" s="25"/>
      <c r="H19" s="26"/>
      <c r="I19" s="26"/>
      <c r="J19" s="6">
        <v>0.21</v>
      </c>
      <c r="K19" s="7">
        <f>2.52/J19*I14</f>
        <v>444</v>
      </c>
      <c r="L19" s="10"/>
    </row>
    <row r="20" spans="1:12">
      <c r="A20" s="24"/>
      <c r="B20" s="6" t="s">
        <v>35</v>
      </c>
      <c r="C20" s="5">
        <v>46206</v>
      </c>
      <c r="D20" s="37">
        <v>2128</v>
      </c>
      <c r="E20" s="40"/>
      <c r="F20" s="39">
        <f>IF(E14=0,0,D20/E14)</f>
        <v>266</v>
      </c>
      <c r="G20" s="25"/>
      <c r="H20" s="26"/>
      <c r="I20" s="26"/>
      <c r="J20" s="6">
        <v>0.21</v>
      </c>
      <c r="K20" s="7">
        <f>2.52/J20*I14</f>
        <v>444</v>
      </c>
      <c r="L20" s="10"/>
    </row>
    <row r="21" spans="1:12">
      <c r="A21" s="24" t="s">
        <v>36</v>
      </c>
      <c r="B21" s="4" t="s">
        <v>37</v>
      </c>
      <c r="C21" s="5">
        <v>46223</v>
      </c>
      <c r="D21" s="37">
        <v>17</v>
      </c>
      <c r="E21" s="40">
        <v>8</v>
      </c>
      <c r="F21" s="39">
        <f>IF(E21=0,0,D21/E21)</f>
        <v>2.125</v>
      </c>
      <c r="G21" s="25">
        <f>IF(E21=0,0,SUMPRODUCT(F21:F23,J21:J23)/(I21*2.52))</f>
        <v>0.42754020467836251</v>
      </c>
      <c r="H21" s="26">
        <f>G21*I21*E21</f>
        <v>129.9722222222222</v>
      </c>
      <c r="I21" s="26">
        <v>38</v>
      </c>
      <c r="J21" s="6">
        <v>1.1499999999999999</v>
      </c>
      <c r="K21" s="7">
        <f>2.52/J21*I21</f>
        <v>83.269565217391317</v>
      </c>
      <c r="L21" s="10">
        <f>E21*I21</f>
        <v>304</v>
      </c>
    </row>
    <row r="22" spans="1:12">
      <c r="A22" s="24"/>
      <c r="B22" s="4" t="s">
        <v>37</v>
      </c>
      <c r="C22" s="5">
        <v>46223</v>
      </c>
      <c r="D22" s="37">
        <v>86</v>
      </c>
      <c r="E22" s="40"/>
      <c r="F22" s="39">
        <f>IF(E21=0,0,D22/E21)</f>
        <v>10.75</v>
      </c>
      <c r="G22" s="25"/>
      <c r="H22" s="26"/>
      <c r="I22" s="26"/>
      <c r="J22" s="6">
        <v>1.18</v>
      </c>
      <c r="K22" s="7">
        <f>2.52/J22*I21</f>
        <v>81.152542372881356</v>
      </c>
      <c r="L22" s="10"/>
    </row>
    <row r="23" spans="1:12">
      <c r="A23" s="24"/>
      <c r="B23" s="4" t="s">
        <v>38</v>
      </c>
      <c r="C23" s="5">
        <v>46238</v>
      </c>
      <c r="D23" s="37">
        <v>350</v>
      </c>
      <c r="E23" s="40"/>
      <c r="F23" s="39">
        <f>IF(E21=0,0,D23/E21)</f>
        <v>43.75</v>
      </c>
      <c r="G23" s="25"/>
      <c r="H23" s="26"/>
      <c r="I23" s="26"/>
      <c r="J23" s="6">
        <v>0.59</v>
      </c>
      <c r="K23" s="7">
        <f>2.52/J23*I21</f>
        <v>162.30508474576271</v>
      </c>
      <c r="L23" s="10"/>
    </row>
    <row r="24" spans="1:12">
      <c r="A24" s="24" t="s">
        <v>39</v>
      </c>
      <c r="B24" s="4" t="s">
        <v>40</v>
      </c>
      <c r="C24" s="5">
        <v>46162</v>
      </c>
      <c r="D24" s="37">
        <v>441</v>
      </c>
      <c r="E24" s="40">
        <v>8</v>
      </c>
      <c r="F24" s="39">
        <f>IF(E24=0,0,D24/E24)</f>
        <v>55.125</v>
      </c>
      <c r="G24" s="25">
        <f>IF(E24=0,0,SUMPRODUCT(F24:F26,J24:J26)/(I24*2.52))</f>
        <v>0.62155877976190466</v>
      </c>
      <c r="H24" s="26">
        <f>G24*I24*E24</f>
        <v>159.11904761904759</v>
      </c>
      <c r="I24" s="26">
        <v>32</v>
      </c>
      <c r="J24" s="6">
        <v>0.87</v>
      </c>
      <c r="K24" s="7">
        <f>2.52/J24*I24</f>
        <v>92.689655172413794</v>
      </c>
      <c r="L24" s="10">
        <f>E24*I24</f>
        <v>256</v>
      </c>
    </row>
    <row r="25" spans="1:12">
      <c r="A25" s="24"/>
      <c r="B25" s="4" t="s">
        <v>40</v>
      </c>
      <c r="C25" s="5">
        <v>46162</v>
      </c>
      <c r="D25" s="37">
        <v>8</v>
      </c>
      <c r="E25" s="40"/>
      <c r="F25" s="39">
        <f>IF(E24=0,0,D25/E24)</f>
        <v>1</v>
      </c>
      <c r="G25" s="25"/>
      <c r="H25" s="26"/>
      <c r="I25" s="26"/>
      <c r="J25" s="6">
        <v>0.91</v>
      </c>
      <c r="K25" s="7">
        <f>2.52/J25*I24</f>
        <v>88.615384615384613</v>
      </c>
      <c r="L25" s="10"/>
    </row>
    <row r="26" spans="1:12">
      <c r="A26" s="24"/>
      <c r="B26" s="4" t="s">
        <v>38</v>
      </c>
      <c r="C26" s="5">
        <v>46238</v>
      </c>
      <c r="D26" s="37">
        <v>17</v>
      </c>
      <c r="E26" s="40"/>
      <c r="F26" s="39">
        <f>IF(E24=0,0,D26/E24)</f>
        <v>2.125</v>
      </c>
      <c r="G26" s="25"/>
      <c r="H26" s="26"/>
      <c r="I26" s="26"/>
      <c r="J26" s="6">
        <v>0.59</v>
      </c>
      <c r="K26" s="7">
        <f>2.52/J26*I24</f>
        <v>136.67796610169492</v>
      </c>
      <c r="L26" s="10"/>
    </row>
    <row r="27" spans="1:12">
      <c r="A27" s="24" t="s">
        <v>41</v>
      </c>
      <c r="B27" s="4" t="s">
        <v>42</v>
      </c>
      <c r="C27" s="5">
        <v>46211</v>
      </c>
      <c r="D27" s="37">
        <v>1032</v>
      </c>
      <c r="E27" s="40">
        <v>9</v>
      </c>
      <c r="F27" s="39">
        <f>IF(E27=0,0,D27/E27)</f>
        <v>114.66666666666667</v>
      </c>
      <c r="G27" s="25">
        <f>IF(E27=0,0,SUMPRODUCT(F27:F28,J27:J28)/(I27*2.52))</f>
        <v>1.7832948944060054</v>
      </c>
      <c r="H27" s="26">
        <f>G27*I27*E27</f>
        <v>625.93650793650795</v>
      </c>
      <c r="I27" s="26">
        <v>39</v>
      </c>
      <c r="J27" s="6">
        <v>1.39</v>
      </c>
      <c r="K27" s="7">
        <f>2.52/J27*I27</f>
        <v>70.705035971223026</v>
      </c>
      <c r="L27" s="10">
        <f>E27*I27</f>
        <v>351</v>
      </c>
    </row>
    <row r="28" spans="1:12">
      <c r="A28" s="24"/>
      <c r="B28" s="4" t="s">
        <v>42</v>
      </c>
      <c r="C28" s="5">
        <v>46211</v>
      </c>
      <c r="D28" s="37">
        <v>94</v>
      </c>
      <c r="E28" s="40"/>
      <c r="F28" s="39">
        <f>IF(E27=0,0,D28/E27)</f>
        <v>10.444444444444445</v>
      </c>
      <c r="G28" s="25"/>
      <c r="H28" s="26"/>
      <c r="I28" s="26"/>
      <c r="J28" s="6">
        <v>1.52</v>
      </c>
      <c r="K28" s="7">
        <f>2.52/J28*I27</f>
        <v>64.65789473684211</v>
      </c>
      <c r="L28" s="10"/>
    </row>
    <row r="29" spans="1:12">
      <c r="A29" s="3" t="s">
        <v>43</v>
      </c>
      <c r="B29" s="4" t="s">
        <v>44</v>
      </c>
      <c r="C29" s="5">
        <v>46227</v>
      </c>
      <c r="D29" s="37">
        <v>1281</v>
      </c>
      <c r="E29" s="38">
        <v>8</v>
      </c>
      <c r="F29" s="39">
        <f>IF(E29=0,0,D29/E29)</f>
        <v>160.125</v>
      </c>
      <c r="G29" s="8">
        <f>IF(E29=0,0,SUMPRODUCT(F29:F29,J29:J29)/(I29*2.52))</f>
        <v>1.6339285714285714</v>
      </c>
      <c r="H29" s="9">
        <f>G29*I29*E29</f>
        <v>457.5</v>
      </c>
      <c r="I29" s="9">
        <v>35</v>
      </c>
      <c r="J29" s="6">
        <v>0.9</v>
      </c>
      <c r="K29" s="7">
        <f>2.52/J29*I29</f>
        <v>98</v>
      </c>
      <c r="L29" s="10">
        <f>E29*I29</f>
        <v>280</v>
      </c>
    </row>
    <row r="30" spans="1:12">
      <c r="A30" s="24" t="s">
        <v>45</v>
      </c>
      <c r="B30" s="4" t="s">
        <v>46</v>
      </c>
      <c r="C30" s="5">
        <v>46202</v>
      </c>
      <c r="D30" s="37">
        <v>119</v>
      </c>
      <c r="E30" s="40">
        <v>8</v>
      </c>
      <c r="F30" s="39">
        <f>IF(E30=0,0,D30/E30)</f>
        <v>14.875</v>
      </c>
      <c r="G30" s="25">
        <f>IF(E30=0,0,SUMPRODUCT(F30:F32,J30:J32)/(I30*2.52))</f>
        <v>2.1094621407121403</v>
      </c>
      <c r="H30" s="26">
        <f>G30*I30*E30</f>
        <v>624.4007936507935</v>
      </c>
      <c r="I30" s="26">
        <v>37</v>
      </c>
      <c r="J30" s="6">
        <v>0.81</v>
      </c>
      <c r="K30" s="7">
        <f>2.52/J30*I30</f>
        <v>115.1111111111111</v>
      </c>
      <c r="L30" s="10">
        <f>E30*I30</f>
        <v>296</v>
      </c>
    </row>
    <row r="31" spans="1:12">
      <c r="A31" s="24"/>
      <c r="B31" s="4" t="s">
        <v>46</v>
      </c>
      <c r="C31" s="5">
        <v>46202</v>
      </c>
      <c r="D31" s="37">
        <v>109</v>
      </c>
      <c r="E31" s="40"/>
      <c r="F31" s="39">
        <f>IF(E30=0,0,D31/E30)</f>
        <v>13.625</v>
      </c>
      <c r="G31" s="25"/>
      <c r="H31" s="26"/>
      <c r="I31" s="26"/>
      <c r="J31" s="6">
        <v>0.86</v>
      </c>
      <c r="K31" s="7">
        <f>2.52/J31*I30</f>
        <v>108.41860465116278</v>
      </c>
      <c r="L31" s="10"/>
    </row>
    <row r="32" spans="1:12">
      <c r="A32" s="24"/>
      <c r="B32" s="4" t="s">
        <v>46</v>
      </c>
      <c r="C32" s="5">
        <v>46202</v>
      </c>
      <c r="D32" s="37">
        <v>1572</v>
      </c>
      <c r="E32" s="40"/>
      <c r="F32" s="39">
        <f>IF(E30=0,0,D32/E30)</f>
        <v>196.5</v>
      </c>
      <c r="G32" s="25"/>
      <c r="H32" s="26"/>
      <c r="I32" s="26"/>
      <c r="J32" s="6">
        <v>0.88</v>
      </c>
      <c r="K32" s="7">
        <f>2.52/J32*I30</f>
        <v>105.95454545454545</v>
      </c>
      <c r="L32" s="10"/>
    </row>
    <row r="33" spans="1:12">
      <c r="A33" s="3" t="s">
        <v>47</v>
      </c>
      <c r="B33" s="4" t="s">
        <v>20</v>
      </c>
      <c r="C33" s="5">
        <v>46223</v>
      </c>
      <c r="D33" s="37">
        <v>1440</v>
      </c>
      <c r="E33" s="38">
        <v>8</v>
      </c>
      <c r="F33" s="39">
        <f>IF(E33=0,0,D33/E33)</f>
        <v>180</v>
      </c>
      <c r="G33" s="8">
        <f>IF(E33=0,0,SUMPRODUCT(F33:F33,J33:J33)/(I33*2.52))</f>
        <v>1.7374517374517375</v>
      </c>
      <c r="H33" s="9">
        <f>G33*I33*E33</f>
        <v>514.28571428571433</v>
      </c>
      <c r="I33" s="9">
        <v>37</v>
      </c>
      <c r="J33" s="6">
        <v>0.9</v>
      </c>
      <c r="K33" s="7">
        <f>2.52/J33*I33</f>
        <v>103.6</v>
      </c>
      <c r="L33" s="10">
        <f>E33*I33</f>
        <v>296</v>
      </c>
    </row>
    <row r="34" spans="1:12">
      <c r="A34" s="3" t="s">
        <v>48</v>
      </c>
      <c r="B34" s="4" t="s">
        <v>46</v>
      </c>
      <c r="C34" s="5">
        <v>46213</v>
      </c>
      <c r="D34" s="37">
        <v>2000</v>
      </c>
      <c r="E34" s="38">
        <v>8</v>
      </c>
      <c r="F34" s="39">
        <f>IF(E34=0,0,D34/E34)</f>
        <v>250</v>
      </c>
      <c r="G34" s="8">
        <f>IF(E34=0,0,SUMPRODUCT(F34:F34,J34:J34)/(I34*2.52))</f>
        <v>2.1718146718146718</v>
      </c>
      <c r="H34" s="9">
        <f>G34*I34*E34</f>
        <v>642.85714285714289</v>
      </c>
      <c r="I34" s="9">
        <v>37</v>
      </c>
      <c r="J34" s="6">
        <v>0.81</v>
      </c>
      <c r="K34" s="7">
        <f>2.52/J34*I34</f>
        <v>115.1111111111111</v>
      </c>
      <c r="L34" s="10">
        <f>E34*I34</f>
        <v>296</v>
      </c>
    </row>
    <row r="35" spans="1:12">
      <c r="A35" s="24" t="s">
        <v>49</v>
      </c>
      <c r="B35" s="4" t="s">
        <v>46</v>
      </c>
      <c r="C35" s="5">
        <v>46165</v>
      </c>
      <c r="D35" s="37">
        <v>189</v>
      </c>
      <c r="E35" s="40">
        <v>8</v>
      </c>
      <c r="F35" s="39">
        <f>IF(E35=0,0,D35/E35)</f>
        <v>23.625</v>
      </c>
      <c r="G35" s="25">
        <f>IF(E35=0,0,SUMPRODUCT(F35:F36,J35:J36)/(I35*2.52))</f>
        <v>2.1777804590304588</v>
      </c>
      <c r="H35" s="26">
        <f>G35*I35*E35</f>
        <v>644.62301587301579</v>
      </c>
      <c r="I35" s="26">
        <v>37</v>
      </c>
      <c r="J35" s="6">
        <v>0.81</v>
      </c>
      <c r="K35" s="7">
        <f>2.52/J35*I35</f>
        <v>115.1111111111111</v>
      </c>
      <c r="L35" s="10">
        <f>E35*I35</f>
        <v>296</v>
      </c>
    </row>
    <row r="36" spans="1:12">
      <c r="A36" s="24"/>
      <c r="B36" s="4" t="s">
        <v>46</v>
      </c>
      <c r="C36" s="5">
        <v>46165</v>
      </c>
      <c r="D36" s="37">
        <v>1672</v>
      </c>
      <c r="E36" s="40"/>
      <c r="F36" s="39">
        <f>IF(E35=0,0,D36/E35)</f>
        <v>209</v>
      </c>
      <c r="G36" s="25"/>
      <c r="H36" s="26"/>
      <c r="I36" s="26"/>
      <c r="J36" s="6">
        <v>0.88</v>
      </c>
      <c r="K36" s="7">
        <f>2.52/J36*I35</f>
        <v>105.95454545454545</v>
      </c>
      <c r="L36" s="10"/>
    </row>
    <row r="37" spans="1:12">
      <c r="A37" s="3" t="s">
        <v>50</v>
      </c>
      <c r="B37" s="4" t="s">
        <v>42</v>
      </c>
      <c r="C37" s="5">
        <v>46210</v>
      </c>
      <c r="D37" s="37">
        <v>1346</v>
      </c>
      <c r="E37" s="38">
        <v>9</v>
      </c>
      <c r="F37" s="39">
        <f>IF(E37=0,0,D37/E37)</f>
        <v>149.55555555555554</v>
      </c>
      <c r="G37" s="8">
        <f>IF(E37=0,0,SUMPRODUCT(F37:F37,J37:J37)/(I37*2.52))</f>
        <v>2.1152037263148373</v>
      </c>
      <c r="H37" s="9">
        <f>G37*I37*E37</f>
        <v>742.43650793650795</v>
      </c>
      <c r="I37" s="9">
        <v>39</v>
      </c>
      <c r="J37" s="6">
        <v>1.39</v>
      </c>
      <c r="K37" s="7">
        <f>2.52/J37*I37</f>
        <v>70.705035971223026</v>
      </c>
      <c r="L37" s="10">
        <f>E37*I37</f>
        <v>351</v>
      </c>
    </row>
    <row r="38" spans="1:12">
      <c r="A38" s="3" t="s">
        <v>51</v>
      </c>
      <c r="B38" s="4" t="s">
        <v>44</v>
      </c>
      <c r="C38" s="5">
        <v>46227</v>
      </c>
      <c r="D38" s="37">
        <v>1190</v>
      </c>
      <c r="E38" s="38">
        <v>8</v>
      </c>
      <c r="F38" s="39">
        <f>IF(E38=0,0,D38/E38)</f>
        <v>148.75</v>
      </c>
      <c r="G38" s="8">
        <f>IF(E38=0,0,SUMPRODUCT(F38:F38,J38:J38)/(I38*2.52))</f>
        <v>1.4756944444444444</v>
      </c>
      <c r="H38" s="9">
        <f>G38*I38*E38</f>
        <v>425</v>
      </c>
      <c r="I38" s="9">
        <v>36</v>
      </c>
      <c r="J38" s="6">
        <v>0.9</v>
      </c>
      <c r="K38" s="7">
        <f>2.52/J38*I38</f>
        <v>100.8</v>
      </c>
      <c r="L38" s="10">
        <f>E38*I38</f>
        <v>288</v>
      </c>
    </row>
    <row r="39" spans="1:12">
      <c r="A39" s="3" t="s">
        <v>52</v>
      </c>
      <c r="B39" s="4" t="s">
        <v>25</v>
      </c>
      <c r="C39" s="5">
        <v>46221</v>
      </c>
      <c r="D39" s="37">
        <v>893</v>
      </c>
      <c r="E39" s="38">
        <v>8</v>
      </c>
      <c r="F39" s="39">
        <f>IF(E39=0,0,D39/E39)</f>
        <v>111.625</v>
      </c>
      <c r="G39" s="8">
        <f>IF(E39=0,0,SUMPRODUCT(F39:F39,J39:J39)/(I39*2.52))</f>
        <v>1.4485869798369799</v>
      </c>
      <c r="H39" s="9">
        <f>G39*I39*E39</f>
        <v>428.78174603174608</v>
      </c>
      <c r="I39" s="9">
        <v>37</v>
      </c>
      <c r="J39" s="6">
        <v>1.21</v>
      </c>
      <c r="K39" s="7">
        <f>2.52/J39*I39</f>
        <v>77.057851239669432</v>
      </c>
      <c r="L39" s="10">
        <f>E39*I39</f>
        <v>296</v>
      </c>
    </row>
    <row r="40" spans="1:12">
      <c r="A40" s="27" t="s">
        <v>53</v>
      </c>
      <c r="B40" s="28"/>
      <c r="C40" s="29"/>
      <c r="D40" s="11">
        <f>SUM(D5:D39)</f>
        <v>34187</v>
      </c>
      <c r="E40" s="12">
        <f>SUM(E5:E39)</f>
        <v>162</v>
      </c>
      <c r="F40" s="13"/>
      <c r="G40" s="14">
        <f>SUM(H5:H39)/L40</f>
        <v>1.6850405714497994</v>
      </c>
      <c r="H40" s="11"/>
      <c r="I40" s="11">
        <f>SUM(I5:I39)</f>
        <v>738</v>
      </c>
      <c r="J40" s="11"/>
      <c r="K40" s="13"/>
      <c r="L40" s="15">
        <f>SUM(L5:L39)</f>
        <v>5982</v>
      </c>
    </row>
    <row r="41" spans="1:12" ht="13.5" thickBot="1">
      <c r="A41" s="21" t="s">
        <v>54</v>
      </c>
      <c r="B41" s="22"/>
      <c r="C41" s="23"/>
      <c r="D41" s="16">
        <f>SUMIF(A5:A40, "&lt;&gt;Summary", D5:D40)</f>
        <v>34187</v>
      </c>
      <c r="E41" s="17">
        <f>SUMIF(A5:A40, "&lt;&gt;Summary", E5:E40)</f>
        <v>162</v>
      </c>
      <c r="F41" s="18"/>
      <c r="G41" s="19">
        <f>SUMIF(A5:A40, "&lt;&gt;Summary", H5:H40)/L41</f>
        <v>1.6850405714497994</v>
      </c>
      <c r="H41" s="16"/>
      <c r="I41" s="16">
        <f>SUMIF(A5:A40, "&lt;&gt;Summary", I5:I40)</f>
        <v>738</v>
      </c>
      <c r="J41" s="16"/>
      <c r="K41" s="18"/>
      <c r="L41" s="20">
        <f>SUMIF(A5:A40, "&lt;&gt;Summary", L5:L40)</f>
        <v>5982</v>
      </c>
    </row>
    <row r="42" spans="1:12" ht="13.5" thickTop="1"/>
    <row r="43" spans="1:12">
      <c r="C43" s="36" t="s">
        <v>55</v>
      </c>
      <c r="D43" s="36">
        <f>SUM(H5:H9)/SUM(L5:L9)</f>
        <v>1.5771289146289147</v>
      </c>
    </row>
    <row r="44" spans="1:12">
      <c r="C44" s="36" t="s">
        <v>56</v>
      </c>
      <c r="D44" s="36">
        <f>SUM(H10:H23)/SUM(L10:L23)</f>
        <v>1.6583030939648589</v>
      </c>
    </row>
    <row r="45" spans="1:12">
      <c r="C45" s="36" t="s">
        <v>57</v>
      </c>
      <c r="D45" s="36">
        <f>SUM(H24:H33)/SUM(L24:L33)</f>
        <v>1.6100352018201918</v>
      </c>
    </row>
    <row r="46" spans="1:12">
      <c r="C46" s="36" t="s">
        <v>58</v>
      </c>
      <c r="D46" s="36">
        <f>SUM(H34:H39)/SUM(L34:L39)</f>
        <v>1.8884730927952931</v>
      </c>
    </row>
    <row r="47" spans="1:12">
      <c r="C47" s="36"/>
      <c r="D47" s="36"/>
    </row>
  </sheetData>
  <mergeCells count="4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4:A20"/>
    <mergeCell ref="E14:E20"/>
    <mergeCell ref="G14:G20"/>
    <mergeCell ref="H14:H20"/>
    <mergeCell ref="I14:I20"/>
    <mergeCell ref="A12:A13"/>
    <mergeCell ref="E12:E13"/>
    <mergeCell ref="G12:G13"/>
    <mergeCell ref="H12:H13"/>
    <mergeCell ref="I12:I13"/>
    <mergeCell ref="A24:A26"/>
    <mergeCell ref="E24:E26"/>
    <mergeCell ref="G24:G26"/>
    <mergeCell ref="H24:H26"/>
    <mergeCell ref="I24:I26"/>
    <mergeCell ref="A21:A23"/>
    <mergeCell ref="E21:E23"/>
    <mergeCell ref="G21:G23"/>
    <mergeCell ref="H21:H23"/>
    <mergeCell ref="I21:I23"/>
    <mergeCell ref="I35:I36"/>
    <mergeCell ref="A40:C40"/>
    <mergeCell ref="A27:A28"/>
    <mergeCell ref="E27:E28"/>
    <mergeCell ref="G27:G28"/>
    <mergeCell ref="H27:H28"/>
    <mergeCell ref="I27:I28"/>
    <mergeCell ref="A30:A32"/>
    <mergeCell ref="E30:E32"/>
    <mergeCell ref="G30:G32"/>
    <mergeCell ref="H30:H32"/>
    <mergeCell ref="I30:I32"/>
    <mergeCell ref="A41:C41"/>
    <mergeCell ref="A35:A36"/>
    <mergeCell ref="E35:E36"/>
    <mergeCell ref="G35:G36"/>
    <mergeCell ref="H35:H36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2026-08-05T00:54:43Z</dcterms:created>
  <dcterms:modified xsi:type="dcterms:W3CDTF">2026-08-05T00:56:25Z</dcterms:modified>
</cp:coreProperties>
</file>