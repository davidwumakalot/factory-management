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2" i="1"/>
  <c r="E32"/>
  <c r="D32"/>
  <c r="I30"/>
  <c r="E30"/>
  <c r="D30"/>
  <c r="L29"/>
  <c r="K29"/>
  <c r="F29"/>
  <c r="G29" s="1"/>
  <c r="H29" s="1"/>
  <c r="L28"/>
  <c r="K28"/>
  <c r="F28"/>
  <c r="G28" s="1"/>
  <c r="H28" s="1"/>
  <c r="L27"/>
  <c r="K27"/>
  <c r="F27"/>
  <c r="G27" s="1"/>
  <c r="H27" s="1"/>
  <c r="L26"/>
  <c r="K26"/>
  <c r="F26"/>
  <c r="G26" s="1"/>
  <c r="H26" s="1"/>
  <c r="L24"/>
  <c r="K25"/>
  <c r="F25"/>
  <c r="K24"/>
  <c r="F24"/>
  <c r="G24" s="1"/>
  <c r="H24" s="1"/>
  <c r="L23"/>
  <c r="K23"/>
  <c r="F23"/>
  <c r="G23" s="1"/>
  <c r="H23" s="1"/>
  <c r="L22"/>
  <c r="G22"/>
  <c r="H22" s="1"/>
  <c r="K22"/>
  <c r="F22"/>
  <c r="L21"/>
  <c r="K21"/>
  <c r="F21"/>
  <c r="G21" s="1"/>
  <c r="H21" s="1"/>
  <c r="L18"/>
  <c r="K20"/>
  <c r="F20"/>
  <c r="K19"/>
  <c r="F19"/>
  <c r="K18"/>
  <c r="F18"/>
  <c r="G18" s="1"/>
  <c r="H18" s="1"/>
  <c r="L17"/>
  <c r="K17"/>
  <c r="F17"/>
  <c r="G17" s="1"/>
  <c r="H17" s="1"/>
  <c r="L16"/>
  <c r="K16"/>
  <c r="F16"/>
  <c r="G16" s="1"/>
  <c r="H16" s="1"/>
  <c r="L15"/>
  <c r="K15"/>
  <c r="F15"/>
  <c r="G15" s="1"/>
  <c r="H15" s="1"/>
  <c r="L14"/>
  <c r="K14"/>
  <c r="F14"/>
  <c r="G14" s="1"/>
  <c r="H14" s="1"/>
  <c r="L13"/>
  <c r="G13"/>
  <c r="H13" s="1"/>
  <c r="K13"/>
  <c r="F13"/>
  <c r="L11"/>
  <c r="K12"/>
  <c r="F12"/>
  <c r="K11"/>
  <c r="F11"/>
  <c r="G11" s="1"/>
  <c r="H11" s="1"/>
  <c r="L10"/>
  <c r="K10"/>
  <c r="F10"/>
  <c r="G10" s="1"/>
  <c r="H10" s="1"/>
  <c r="L9"/>
  <c r="K9"/>
  <c r="F9"/>
  <c r="G9" s="1"/>
  <c r="H9" s="1"/>
  <c r="L8"/>
  <c r="K8"/>
  <c r="F8"/>
  <c r="G8" s="1"/>
  <c r="H8" s="1"/>
  <c r="L7"/>
  <c r="K7"/>
  <c r="F7"/>
  <c r="G7" s="1"/>
  <c r="H7" s="1"/>
  <c r="L5"/>
  <c r="K6"/>
  <c r="F6"/>
  <c r="K5"/>
  <c r="F5"/>
  <c r="G5" s="1"/>
  <c r="H5" s="1"/>
  <c r="D34" s="1"/>
  <c r="D37" l="1"/>
  <c r="L32"/>
  <c r="G32" s="1"/>
  <c r="D36"/>
  <c r="D35"/>
  <c r="L30"/>
  <c r="G30" s="1"/>
</calcChain>
</file>

<file path=xl/sharedStrings.xml><?xml version="1.0" encoding="utf-8"?>
<sst xmlns="http://schemas.openxmlformats.org/spreadsheetml/2006/main" count="64" uniqueCount="56">
  <si>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</si>
  <si>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</si>
  <si>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</si>
  <si>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</si>
  <si>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</si>
  <si>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</si>
  <si>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</si>
  <si>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</si>
  <si>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</si>
  <si>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</si>
  <si>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</si>
  <si>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</si>
  <si>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</si>
  <si>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</si>
  <si>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</si>
  <si>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</si>
  <si>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5-02</t>
  </si>
  <si>
    <t>K86W2L_C426IND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</si>
  <si>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</si>
  <si>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</si>
  <si>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</si>
  <si>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</si>
  <si>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</si>
  <si>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</si>
  <si>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</si>
  <si>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</si>
  <si>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</si>
  <si>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</si>
  <si>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</si>
  <si>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</si>
  <si>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</si>
  <si>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</si>
  <si>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</si>
  <si>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</si>
  <si>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5-12</t>
  </si>
  <si>
    <t>K864_FA26</t>
  </si>
  <si>
    <t>K864_SP26</t>
  </si>
  <si>
    <t>LK864_FA26</t>
  </si>
  <si>
    <t>5-13</t>
  </si>
  <si>
    <t>5-14</t>
  </si>
  <si>
    <t>K880_FA26</t>
  </si>
  <si>
    <t>5-15</t>
  </si>
  <si>
    <t>5-16</t>
  </si>
  <si>
    <t>MAX198_Q227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</si>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</sst>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7"/>
  <sheetViews>
    <sheetView tabSelected="1" workbookViewId="0">
      <pane ySplit="4" topLeftCell="A5" activePane="bottomLeft" state="frozen"/>
      <selection pane="bottomLeft" activeCell="A11" sqref="A11:A12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46273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3" t="s">
        <v>13</v>
      </c>
      <c r="B5" s="3" t="s">
        <v>14</v>
      </c>
      <c r="C5" s="4">
        <v>46192</v>
      </c>
      <c r="D5" s="5">
        <v>162</v>
      </c>
      <c r="E5" s="34">
        <v>9</v>
      </c>
      <c r="F5" s="6">
        <f>IF(E5=0,0,D5/E5)</f>
        <v>18</v>
      </c>
      <c r="G5" s="35">
        <f>IF(E5=0,0,SUMPRODUCT(F5:F6,J5:J6)/(I5*2.52))</f>
        <v>1.2364745698079034</v>
      </c>
      <c r="H5" s="36">
        <f>G5*I5*E5</f>
        <v>411.7460317460318</v>
      </c>
      <c r="I5" s="36">
        <v>37</v>
      </c>
      <c r="J5" s="5">
        <v>0.8</v>
      </c>
      <c r="K5" s="6">
        <f>2.52/J5*I5</f>
        <v>116.55</v>
      </c>
      <c r="L5" s="7">
        <f>E5*I5</f>
        <v>333</v>
      </c>
    </row>
    <row r="6" spans="1:12">
      <c r="A6" s="33"/>
      <c r="B6" s="3" t="s">
        <v>15</v>
      </c>
      <c r="C6" s="4">
        <v>46272</v>
      </c>
      <c r="D6" s="5">
        <v>1135</v>
      </c>
      <c r="E6" s="34"/>
      <c r="F6" s="6">
        <f>IF(E5=0,0,D6/E5)</f>
        <v>126.11111111111111</v>
      </c>
      <c r="G6" s="35"/>
      <c r="H6" s="36"/>
      <c r="I6" s="36"/>
      <c r="J6" s="5">
        <v>0.8</v>
      </c>
      <c r="K6" s="6">
        <f>2.52/J6*I5</f>
        <v>116.55</v>
      </c>
      <c r="L6" s="7"/>
    </row>
    <row r="7" spans="1:12">
      <c r="A7" s="8" t="s">
        <v>16</v>
      </c>
      <c r="B7" s="3" t="s">
        <v>17</v>
      </c>
      <c r="C7" s="4">
        <v>46198</v>
      </c>
      <c r="D7" s="5">
        <v>1294</v>
      </c>
      <c r="E7" s="9">
        <v>8</v>
      </c>
      <c r="F7" s="6">
        <f>IF(E7=0,0,D7/E7)</f>
        <v>161.75</v>
      </c>
      <c r="G7" s="10">
        <f>IF(E7=0,0,SUMPRODUCT(F7:F7,J7:J7)/(I7*2.52))</f>
        <v>1.6424194677871147</v>
      </c>
      <c r="H7" s="11">
        <f>G7*I7*E7</f>
        <v>446.73809523809518</v>
      </c>
      <c r="I7" s="11">
        <v>34</v>
      </c>
      <c r="J7" s="5">
        <v>0.87</v>
      </c>
      <c r="K7" s="6">
        <f>2.52/J7*I7</f>
        <v>98.482758620689651</v>
      </c>
      <c r="L7" s="7">
        <f>E7*I7</f>
        <v>272</v>
      </c>
    </row>
    <row r="8" spans="1:12">
      <c r="A8" s="8" t="s">
        <v>18</v>
      </c>
      <c r="B8" s="3" t="s">
        <v>19</v>
      </c>
      <c r="C8" s="4">
        <v>46245</v>
      </c>
      <c r="D8" s="5">
        <v>807</v>
      </c>
      <c r="E8" s="9">
        <v>9</v>
      </c>
      <c r="F8" s="6">
        <f>IF(E8=0,0,D8/E8)</f>
        <v>89.666666666666671</v>
      </c>
      <c r="G8" s="10">
        <f>IF(E8=0,0,SUMPRODUCT(F8:F8,J8:J8)/(I8*2.52))</f>
        <v>1.5771485771485774</v>
      </c>
      <c r="H8" s="11">
        <f>G8*I8*E8</f>
        <v>525.19047619047626</v>
      </c>
      <c r="I8" s="11">
        <v>37</v>
      </c>
      <c r="J8" s="5">
        <v>1.64</v>
      </c>
      <c r="K8" s="6">
        <f>2.52/J8*I8</f>
        <v>56.853658536585364</v>
      </c>
      <c r="L8" s="7">
        <f>E8*I8</f>
        <v>333</v>
      </c>
    </row>
    <row r="9" spans="1:12">
      <c r="A9" s="8" t="s">
        <v>20</v>
      </c>
      <c r="B9" s="3" t="s">
        <v>21</v>
      </c>
      <c r="C9" s="4">
        <v>46265</v>
      </c>
      <c r="D9" s="5">
        <v>1262</v>
      </c>
      <c r="E9" s="9">
        <v>9</v>
      </c>
      <c r="F9" s="6">
        <f>IF(E9=0,0,D9/E9)</f>
        <v>140.22222222222223</v>
      </c>
      <c r="G9" s="10">
        <f>IF(E9=0,0,SUMPRODUCT(F9:F9,J9:J9)/(I9*2.52))</f>
        <v>1.4238250855897914</v>
      </c>
      <c r="H9" s="11">
        <f>G9*I9*E9</f>
        <v>435.69047619047615</v>
      </c>
      <c r="I9" s="11">
        <v>34</v>
      </c>
      <c r="J9" s="5">
        <v>0.87</v>
      </c>
      <c r="K9" s="6">
        <f>2.52/J9*I9</f>
        <v>98.482758620689651</v>
      </c>
      <c r="L9" s="7">
        <f>E9*I9</f>
        <v>306</v>
      </c>
    </row>
    <row r="10" spans="1:12">
      <c r="A10" s="8" t="s">
        <v>22</v>
      </c>
      <c r="B10" s="3" t="s">
        <v>23</v>
      </c>
      <c r="C10" s="4">
        <v>46213</v>
      </c>
      <c r="D10" s="5">
        <v>735</v>
      </c>
      <c r="E10" s="9">
        <v>9</v>
      </c>
      <c r="F10" s="6">
        <f>IF(E10=0,0,D10/E10)</f>
        <v>81.666666666666671</v>
      </c>
      <c r="G10" s="10">
        <f>IF(E10=0,0,SUMPRODUCT(F10:F10,J10:J10)/(I10*2.52))</f>
        <v>1.8447293447293451</v>
      </c>
      <c r="H10" s="11">
        <f>G10*I10*E10</f>
        <v>647.50000000000011</v>
      </c>
      <c r="I10" s="11">
        <v>39</v>
      </c>
      <c r="J10" s="5">
        <v>2.2200000000000002</v>
      </c>
      <c r="K10" s="6">
        <f>2.52/J10*I10</f>
        <v>44.270270270270267</v>
      </c>
      <c r="L10" s="7">
        <f>E10*I10</f>
        <v>351</v>
      </c>
    </row>
    <row r="11" spans="1:12">
      <c r="A11" s="33" t="s">
        <v>24</v>
      </c>
      <c r="B11" s="3" t="s">
        <v>23</v>
      </c>
      <c r="C11" s="4">
        <v>46207</v>
      </c>
      <c r="D11" s="5">
        <v>128</v>
      </c>
      <c r="E11" s="34">
        <v>9</v>
      </c>
      <c r="F11" s="6">
        <f>IF(E11=0,0,D11/E11)</f>
        <v>14.222222222222221</v>
      </c>
      <c r="G11" s="35">
        <f>IF(E11=0,0,SUMPRODUCT(F11:F12,J11:J12)/(I11*2.52))</f>
        <v>1.5445922112588777</v>
      </c>
      <c r="H11" s="36">
        <f>G11*I11*E11</f>
        <v>514.34920634920627</v>
      </c>
      <c r="I11" s="36">
        <v>37</v>
      </c>
      <c r="J11" s="5">
        <v>2.2200000000000002</v>
      </c>
      <c r="K11" s="6">
        <f>2.52/J11*I11</f>
        <v>42</v>
      </c>
      <c r="L11" s="7">
        <f>E11*I11</f>
        <v>333</v>
      </c>
    </row>
    <row r="12" spans="1:12">
      <c r="A12" s="33"/>
      <c r="B12" s="3" t="s">
        <v>23</v>
      </c>
      <c r="C12" s="4">
        <v>46207</v>
      </c>
      <c r="D12" s="5">
        <v>440</v>
      </c>
      <c r="E12" s="34"/>
      <c r="F12" s="6">
        <f>IF(E11=0,0,D12/E11)</f>
        <v>48.888888888888886</v>
      </c>
      <c r="G12" s="35"/>
      <c r="H12" s="36"/>
      <c r="I12" s="36"/>
      <c r="J12" s="5">
        <v>2.2999999999999998</v>
      </c>
      <c r="K12" s="6">
        <f>2.52/J12*I11</f>
        <v>40.539130434782614</v>
      </c>
      <c r="L12" s="7"/>
    </row>
    <row r="13" spans="1:12">
      <c r="A13" s="8" t="s">
        <v>25</v>
      </c>
      <c r="B13" s="3" t="s">
        <v>26</v>
      </c>
      <c r="C13" s="4">
        <v>46272</v>
      </c>
      <c r="D13" s="5">
        <v>907</v>
      </c>
      <c r="E13" s="9">
        <v>8</v>
      </c>
      <c r="F13" s="6">
        <f>IF(E13=0,0,D13/E13)</f>
        <v>113.375</v>
      </c>
      <c r="G13" s="10">
        <f>IF(E13=0,0,SUMPRODUCT(F13:F13,J13:J13)/(I13*2.52))</f>
        <v>0.98491795366795387</v>
      </c>
      <c r="H13" s="11">
        <f t="shared" ref="H13:H18" si="0">G13*I13*E13</f>
        <v>291.53571428571433</v>
      </c>
      <c r="I13" s="11">
        <v>37</v>
      </c>
      <c r="J13" s="5">
        <v>0.81</v>
      </c>
      <c r="K13" s="6">
        <f t="shared" ref="K13:K18" si="1">2.52/J13*I13</f>
        <v>115.1111111111111</v>
      </c>
      <c r="L13" s="7">
        <f t="shared" ref="L13:L18" si="2">E13*I13</f>
        <v>296</v>
      </c>
    </row>
    <row r="14" spans="1:12">
      <c r="A14" s="8" t="s">
        <v>27</v>
      </c>
      <c r="B14" s="3" t="s">
        <v>28</v>
      </c>
      <c r="C14" s="4">
        <v>46219</v>
      </c>
      <c r="D14" s="5">
        <v>1050</v>
      </c>
      <c r="E14" s="9">
        <v>9</v>
      </c>
      <c r="F14" s="6">
        <f>IF(E14=0,0,D14/E14)</f>
        <v>116.66666666666667</v>
      </c>
      <c r="G14" s="10">
        <f>IF(E14=0,0,SUMPRODUCT(F14:F14,J14:J14)/(I14*2.52))</f>
        <v>1.0931069958847737</v>
      </c>
      <c r="H14" s="11">
        <f t="shared" si="0"/>
        <v>354.16666666666669</v>
      </c>
      <c r="I14" s="11">
        <v>36</v>
      </c>
      <c r="J14" s="5">
        <v>0.85</v>
      </c>
      <c r="K14" s="6">
        <f t="shared" si="1"/>
        <v>106.72941176470589</v>
      </c>
      <c r="L14" s="7">
        <f t="shared" si="2"/>
        <v>324</v>
      </c>
    </row>
    <row r="15" spans="1:12">
      <c r="A15" s="8" t="s">
        <v>29</v>
      </c>
      <c r="B15" s="3" t="s">
        <v>30</v>
      </c>
      <c r="C15" s="4">
        <v>46240</v>
      </c>
      <c r="D15" s="5">
        <v>630</v>
      </c>
      <c r="E15" s="9">
        <v>9</v>
      </c>
      <c r="F15" s="6">
        <f>IF(E15=0,0,D15/E15)</f>
        <v>70</v>
      </c>
      <c r="G15" s="10">
        <f>IF(E15=0,0,SUMPRODUCT(F15:F15,J15:J15)/(I15*2.52))</f>
        <v>1.3425925925925926</v>
      </c>
      <c r="H15" s="11">
        <f t="shared" si="0"/>
        <v>434.99999999999994</v>
      </c>
      <c r="I15" s="11">
        <v>36</v>
      </c>
      <c r="J15" s="5">
        <v>1.74</v>
      </c>
      <c r="K15" s="6">
        <f t="shared" si="1"/>
        <v>52.137931034482762</v>
      </c>
      <c r="L15" s="7">
        <f t="shared" si="2"/>
        <v>324</v>
      </c>
    </row>
    <row r="16" spans="1:12">
      <c r="A16" s="8" t="s">
        <v>31</v>
      </c>
      <c r="B16" s="3" t="s">
        <v>32</v>
      </c>
      <c r="C16" s="4">
        <v>46267</v>
      </c>
      <c r="D16" s="5">
        <v>908</v>
      </c>
      <c r="E16" s="9">
        <v>9</v>
      </c>
      <c r="F16" s="6">
        <f>IF(E16=0,0,D16/E16)</f>
        <v>100.88888888888889</v>
      </c>
      <c r="G16" s="10">
        <f>IF(E16=0,0,SUMPRODUCT(F16:F16,J16:J16)/(I16*2.52))</f>
        <v>0.83316649983316649</v>
      </c>
      <c r="H16" s="11">
        <f t="shared" si="0"/>
        <v>277.44444444444446</v>
      </c>
      <c r="I16" s="11">
        <v>37</v>
      </c>
      <c r="J16" s="5">
        <v>0.77</v>
      </c>
      <c r="K16" s="6">
        <f t="shared" si="1"/>
        <v>121.09090909090908</v>
      </c>
      <c r="L16" s="7">
        <f t="shared" si="2"/>
        <v>333</v>
      </c>
    </row>
    <row r="17" spans="1:12">
      <c r="A17" s="8" t="s">
        <v>33</v>
      </c>
      <c r="B17" s="3" t="s">
        <v>23</v>
      </c>
      <c r="C17" s="4">
        <v>46262</v>
      </c>
      <c r="D17" s="5">
        <v>677</v>
      </c>
      <c r="E17" s="9">
        <v>9</v>
      </c>
      <c r="F17" s="6">
        <f>IF(E17=0,0,D17/E17)</f>
        <v>75.222222222222229</v>
      </c>
      <c r="G17" s="10">
        <f>IF(E17=0,0,SUMPRODUCT(F17:F17,J17:J17)/(I17*2.52))</f>
        <v>1.6991588658255328</v>
      </c>
      <c r="H17" s="11">
        <f t="shared" si="0"/>
        <v>596.40476190476193</v>
      </c>
      <c r="I17" s="11">
        <v>39</v>
      </c>
      <c r="J17" s="5">
        <v>2.2200000000000002</v>
      </c>
      <c r="K17" s="6">
        <f t="shared" si="1"/>
        <v>44.270270270270267</v>
      </c>
      <c r="L17" s="7">
        <f t="shared" si="2"/>
        <v>351</v>
      </c>
    </row>
    <row r="18" spans="1:12">
      <c r="A18" s="33" t="s">
        <v>34</v>
      </c>
      <c r="B18" s="3" t="s">
        <v>35</v>
      </c>
      <c r="C18" s="4">
        <v>46235</v>
      </c>
      <c r="D18" s="5">
        <v>820</v>
      </c>
      <c r="E18" s="34">
        <v>9</v>
      </c>
      <c r="F18" s="6">
        <f>IF(E18=0,0,D18/E18)</f>
        <v>91.111111111111114</v>
      </c>
      <c r="G18" s="35">
        <f>IF(E18=0,0,SUMPRODUCT(F18:F20,J18:J20)/(I18*2.52))</f>
        <v>1.2355889724310776</v>
      </c>
      <c r="H18" s="36">
        <f t="shared" si="0"/>
        <v>422.57142857142856</v>
      </c>
      <c r="I18" s="36">
        <v>38</v>
      </c>
      <c r="J18" s="5">
        <v>1.1599999999999999</v>
      </c>
      <c r="K18" s="6">
        <f t="shared" si="1"/>
        <v>82.551724137931046</v>
      </c>
      <c r="L18" s="7">
        <f t="shared" si="2"/>
        <v>342</v>
      </c>
    </row>
    <row r="19" spans="1:12">
      <c r="A19" s="33"/>
      <c r="B19" s="3" t="s">
        <v>36</v>
      </c>
      <c r="C19" s="4">
        <v>46268</v>
      </c>
      <c r="D19" s="5">
        <v>98</v>
      </c>
      <c r="E19" s="34"/>
      <c r="F19" s="6">
        <f>IF(E18=0,0,D19/E18)</f>
        <v>10.888888888888889</v>
      </c>
      <c r="G19" s="35"/>
      <c r="H19" s="36"/>
      <c r="I19" s="36"/>
      <c r="J19" s="5">
        <v>1.1599999999999999</v>
      </c>
      <c r="K19" s="6">
        <f>2.52/J19*I18</f>
        <v>82.551724137931046</v>
      </c>
      <c r="L19" s="7"/>
    </row>
    <row r="20" spans="1:12">
      <c r="A20" s="33"/>
      <c r="B20" s="3" t="s">
        <v>37</v>
      </c>
      <c r="C20" s="4">
        <v>46273</v>
      </c>
      <c r="D20" s="5">
        <v>0</v>
      </c>
      <c r="E20" s="34"/>
      <c r="F20" s="6">
        <f>IF(E18=0,0,D20/E18)</f>
        <v>0</v>
      </c>
      <c r="G20" s="35"/>
      <c r="H20" s="36"/>
      <c r="I20" s="36"/>
      <c r="J20" s="5">
        <v>1.22</v>
      </c>
      <c r="K20" s="6">
        <f>2.52/J20*I18</f>
        <v>78.491803278688522</v>
      </c>
      <c r="L20" s="7"/>
    </row>
    <row r="21" spans="1:12">
      <c r="A21" s="8" t="s">
        <v>38</v>
      </c>
      <c r="B21" s="3" t="s">
        <v>21</v>
      </c>
      <c r="C21" s="4">
        <v>46255</v>
      </c>
      <c r="D21" s="5">
        <v>1354</v>
      </c>
      <c r="E21" s="9">
        <v>9</v>
      </c>
      <c r="F21" s="6">
        <f>IF(E21=0,0,D21/E21)</f>
        <v>150.44444444444446</v>
      </c>
      <c r="G21" s="10">
        <f>IF(E21=0,0,SUMPRODUCT(F21:F21,J21:J21)/(I21*2.52))</f>
        <v>1.3668198273461432</v>
      </c>
      <c r="H21" s="11">
        <f>G21*I21*E21</f>
        <v>467.45238095238096</v>
      </c>
      <c r="I21" s="11">
        <v>38</v>
      </c>
      <c r="J21" s="5">
        <v>0.87</v>
      </c>
      <c r="K21" s="6">
        <f>2.52/J21*I21</f>
        <v>110.06896551724138</v>
      </c>
      <c r="L21" s="7">
        <f>E21*I21</f>
        <v>342</v>
      </c>
    </row>
    <row r="22" spans="1:12">
      <c r="A22" s="8" t="s">
        <v>39</v>
      </c>
      <c r="B22" s="3" t="s">
        <v>40</v>
      </c>
      <c r="C22" s="4">
        <v>46192</v>
      </c>
      <c r="D22" s="5">
        <v>1214</v>
      </c>
      <c r="E22" s="9">
        <v>9</v>
      </c>
      <c r="F22" s="6">
        <f>IF(E22=0,0,D22/E22)</f>
        <v>134.88888888888889</v>
      </c>
      <c r="G22" s="10">
        <f>IF(E22=0,0,SUMPRODUCT(F22:F22,J22:J22)/(I22*2.52))</f>
        <v>1.803026083727838</v>
      </c>
      <c r="H22" s="11">
        <f>G22*I22*E22</f>
        <v>616.6349206349206</v>
      </c>
      <c r="I22" s="11">
        <v>38</v>
      </c>
      <c r="J22" s="5">
        <v>1.28</v>
      </c>
      <c r="K22" s="6">
        <f>2.52/J22*I22</f>
        <v>74.8125</v>
      </c>
      <c r="L22" s="7">
        <f>E22*I22</f>
        <v>342</v>
      </c>
    </row>
    <row r="23" spans="1:12">
      <c r="A23" s="8" t="s">
        <v>41</v>
      </c>
      <c r="B23" s="3" t="s">
        <v>17</v>
      </c>
      <c r="C23" s="4">
        <v>46209</v>
      </c>
      <c r="D23" s="5">
        <v>2005</v>
      </c>
      <c r="E23" s="9">
        <v>9</v>
      </c>
      <c r="F23" s="6">
        <f>IF(E23=0,0,D23/E23)</f>
        <v>222.77777777777777</v>
      </c>
      <c r="G23" s="10">
        <f>IF(E23=0,0,SUMPRODUCT(F23:F23,J23:J23)/(I23*2.52))</f>
        <v>2.078685828685829</v>
      </c>
      <c r="H23" s="11">
        <f>G23*I23*E23</f>
        <v>692.20238095238108</v>
      </c>
      <c r="I23" s="11">
        <v>37</v>
      </c>
      <c r="J23" s="5">
        <v>0.87</v>
      </c>
      <c r="K23" s="6">
        <f>2.52/J23*I23</f>
        <v>107.17241379310344</v>
      </c>
      <c r="L23" s="7">
        <f>E23*I23</f>
        <v>333</v>
      </c>
    </row>
    <row r="24" spans="1:12">
      <c r="A24" s="33" t="s">
        <v>42</v>
      </c>
      <c r="B24" s="3" t="s">
        <v>43</v>
      </c>
      <c r="C24" s="4">
        <v>46262</v>
      </c>
      <c r="D24" s="5">
        <v>21</v>
      </c>
      <c r="E24" s="34">
        <v>9</v>
      </c>
      <c r="F24" s="6">
        <f>IF(E24=0,0,D24/E24)</f>
        <v>2.3333333333333335</v>
      </c>
      <c r="G24" s="35">
        <f>IF(E24=0,0,SUMPRODUCT(F24:F25,J24:J25)/(I24*2.52))</f>
        <v>1.1857730746619637</v>
      </c>
      <c r="H24" s="36">
        <f>G24*I24*E24</f>
        <v>384.1904761904762</v>
      </c>
      <c r="I24" s="36">
        <v>36</v>
      </c>
      <c r="J24" s="5">
        <v>0.96</v>
      </c>
      <c r="K24" s="6">
        <f>2.52/J24*I24</f>
        <v>94.5</v>
      </c>
      <c r="L24" s="7">
        <f>E24*I24</f>
        <v>324</v>
      </c>
    </row>
    <row r="25" spans="1:12">
      <c r="A25" s="33"/>
      <c r="B25" s="3" t="s">
        <v>44</v>
      </c>
      <c r="C25" s="4">
        <v>46269</v>
      </c>
      <c r="D25" s="5">
        <v>1200</v>
      </c>
      <c r="E25" s="34"/>
      <c r="F25" s="6">
        <f>IF(E24=0,0,D25/E24)</f>
        <v>133.33333333333334</v>
      </c>
      <c r="G25" s="35"/>
      <c r="H25" s="36"/>
      <c r="I25" s="36"/>
      <c r="J25" s="5">
        <v>0.79</v>
      </c>
      <c r="K25" s="6">
        <f>2.52/J25*I24</f>
        <v>114.83544303797467</v>
      </c>
      <c r="L25" s="7"/>
    </row>
    <row r="26" spans="1:12">
      <c r="A26" s="8" t="s">
        <v>45</v>
      </c>
      <c r="B26" s="3" t="s">
        <v>23</v>
      </c>
      <c r="C26" s="4">
        <v>46155</v>
      </c>
      <c r="D26" s="5">
        <v>754</v>
      </c>
      <c r="E26" s="9">
        <v>9</v>
      </c>
      <c r="F26" s="6">
        <f>IF(E26=0,0,D26/E26)</f>
        <v>83.777777777777771</v>
      </c>
      <c r="G26" s="10">
        <f>IF(E26=0,0,SUMPRODUCT(F26:F26,J26:J26)/(I26*2.52))</f>
        <v>1.8451058201058204</v>
      </c>
      <c r="H26" s="11">
        <f>G26*I26*E26</f>
        <v>664.2380952380953</v>
      </c>
      <c r="I26" s="11">
        <v>40</v>
      </c>
      <c r="J26" s="5">
        <v>2.2200000000000002</v>
      </c>
      <c r="K26" s="6">
        <f>2.52/J26*I26</f>
        <v>45.405405405405403</v>
      </c>
      <c r="L26" s="7">
        <f>E26*I26</f>
        <v>360</v>
      </c>
    </row>
    <row r="27" spans="1:12">
      <c r="A27" s="8" t="s">
        <v>46</v>
      </c>
      <c r="B27" s="3" t="s">
        <v>26</v>
      </c>
      <c r="C27" s="4">
        <v>46268</v>
      </c>
      <c r="D27" s="5">
        <v>1072</v>
      </c>
      <c r="E27" s="9">
        <v>9</v>
      </c>
      <c r="F27" s="6">
        <f>IF(E27=0,0,D27/E27)</f>
        <v>119.11111111111111</v>
      </c>
      <c r="G27" s="10">
        <f>IF(E27=0,0,SUMPRODUCT(F27:F27,J27:J27)/(I27*2.52))</f>
        <v>1.0347490347490349</v>
      </c>
      <c r="H27" s="11">
        <f>G27*I27*E27</f>
        <v>344.57142857142861</v>
      </c>
      <c r="I27" s="11">
        <v>37</v>
      </c>
      <c r="J27" s="5">
        <v>0.81</v>
      </c>
      <c r="K27" s="6">
        <f>2.52/J27*I27</f>
        <v>115.1111111111111</v>
      </c>
      <c r="L27" s="7">
        <f>E27*I27</f>
        <v>333</v>
      </c>
    </row>
    <row r="28" spans="1:12">
      <c r="A28" s="8" t="s">
        <v>47</v>
      </c>
      <c r="B28" s="3" t="s">
        <v>17</v>
      </c>
      <c r="C28" s="4">
        <v>46192</v>
      </c>
      <c r="D28" s="5">
        <v>1363</v>
      </c>
      <c r="E28" s="9">
        <v>8</v>
      </c>
      <c r="F28" s="6">
        <f>IF(E28=0,0,D28/E28)</f>
        <v>170.375</v>
      </c>
      <c r="G28" s="10">
        <f>IF(E28=0,0,SUMPRODUCT(F28:F28,J28:J28)/(I28*2.52))</f>
        <v>1.5082036019536018</v>
      </c>
      <c r="H28" s="11">
        <f>G28*I28*E28</f>
        <v>470.55952380952374</v>
      </c>
      <c r="I28" s="11">
        <v>39</v>
      </c>
      <c r="J28" s="5">
        <v>0.87</v>
      </c>
      <c r="K28" s="6">
        <f>2.52/J28*I28</f>
        <v>112.96551724137932</v>
      </c>
      <c r="L28" s="7">
        <f>E28*I28</f>
        <v>312</v>
      </c>
    </row>
    <row r="29" spans="1:12">
      <c r="A29" s="8" t="s">
        <v>48</v>
      </c>
      <c r="B29" s="3" t="s">
        <v>49</v>
      </c>
      <c r="C29" s="4">
        <v>46272</v>
      </c>
      <c r="D29" s="5">
        <v>198</v>
      </c>
      <c r="E29" s="9">
        <v>8</v>
      </c>
      <c r="F29" s="6">
        <f>IF(E29=0,0,D29/E29)</f>
        <v>24.75</v>
      </c>
      <c r="G29" s="10">
        <f>IF(E29=0,0,SUMPRODUCT(F29:F29,J29:J29)/(I29*2.52))</f>
        <v>0.35848214285714286</v>
      </c>
      <c r="H29" s="11">
        <f>G29*I29*E29</f>
        <v>114.71428571428572</v>
      </c>
      <c r="I29" s="11">
        <v>40</v>
      </c>
      <c r="J29" s="5">
        <v>1.46</v>
      </c>
      <c r="K29" s="6">
        <f>2.52/J29*I29</f>
        <v>69.041095890410958</v>
      </c>
      <c r="L29" s="7">
        <f>E29*I29</f>
        <v>320</v>
      </c>
    </row>
    <row r="30" spans="1:12">
      <c r="A30" s="27" t="s">
        <v>50</v>
      </c>
      <c r="B30" s="28"/>
      <c r="C30" s="29"/>
      <c r="D30" s="12">
        <f>SUM(D5:D29)</f>
        <v>20234</v>
      </c>
      <c r="E30" s="13">
        <f>SUM(E5:E29)</f>
        <v>176</v>
      </c>
      <c r="F30" s="14"/>
      <c r="G30" s="15">
        <f>SUM(H5:H29)/L30</f>
        <v>1.3883151727073115</v>
      </c>
      <c r="H30" s="12"/>
      <c r="I30" s="12">
        <f>SUM(I5:I29)</f>
        <v>746</v>
      </c>
      <c r="J30" s="12"/>
      <c r="K30" s="14"/>
      <c r="L30" s="16">
        <f>SUM(L5:L29)</f>
        <v>6564</v>
      </c>
    </row>
    <row r="31" spans="1:12">
      <c r="A31" s="17"/>
      <c r="B31" s="5"/>
      <c r="C31" s="4"/>
      <c r="D31" s="5"/>
      <c r="E31" s="18"/>
      <c r="F31" s="6"/>
      <c r="G31" s="19"/>
      <c r="H31" s="5"/>
      <c r="I31" s="5"/>
      <c r="J31" s="5"/>
      <c r="K31" s="6"/>
      <c r="L31" s="7"/>
    </row>
    <row r="32" spans="1:12" ht="13.5" thickBot="1">
      <c r="A32" s="30" t="s">
        <v>51</v>
      </c>
      <c r="B32" s="31"/>
      <c r="C32" s="32"/>
      <c r="D32" s="20">
        <f>SUMIF(A5:A31, "&lt;&gt;Summary", D5:D31)</f>
        <v>20234</v>
      </c>
      <c r="E32" s="21">
        <f>SUMIF(A5:A31, "&lt;&gt;Summary", E5:E31)</f>
        <v>176</v>
      </c>
      <c r="F32" s="22"/>
      <c r="G32" s="23">
        <f>SUMIF(A5:A31, "&lt;&gt;Summary", H5:H31)/L32</f>
        <v>1.3883151727073115</v>
      </c>
      <c r="H32" s="20"/>
      <c r="I32" s="20">
        <f>SUMIF(A5:A31, "&lt;&gt;Summary", I5:I31)</f>
        <v>746</v>
      </c>
      <c r="J32" s="20"/>
      <c r="K32" s="22"/>
      <c r="L32" s="24">
        <f>SUMIF(A5:A31, "&lt;&gt;Summary", L5:L31)</f>
        <v>6564</v>
      </c>
    </row>
    <row r="33" spans="3:4" ht="13.5" thickTop="1"/>
    <row r="34" spans="3:4">
      <c r="C34" s="25" t="s">
        <v>52</v>
      </c>
      <c r="D34" s="26">
        <f>SUM(H5:H10)/SUM(L5:L10)</f>
        <v>1.5466238742100813</v>
      </c>
    </row>
    <row r="35" spans="3:4">
      <c r="C35" s="25" t="s">
        <v>53</v>
      </c>
      <c r="D35" s="26">
        <f>SUM(H11:H16)/SUM(L11:L16)</f>
        <v>1.1630410135068521</v>
      </c>
    </row>
    <row r="36" spans="3:4">
      <c r="C36" s="25" t="s">
        <v>54</v>
      </c>
      <c r="D36" s="26">
        <f>SUM(H17:H23)/SUM(L17:L23)</f>
        <v>1.6346584052724404</v>
      </c>
    </row>
    <row r="37" spans="3:4">
      <c r="C37" s="25" t="s">
        <v>55</v>
      </c>
      <c r="D37" s="26">
        <f>SUM(H24:H29)/SUM(L24:L29)</f>
        <v>1.1996809032891507</v>
      </c>
    </row>
  </sheetData>
  <mergeCells count="3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1:A12"/>
    <mergeCell ref="E11:E12"/>
    <mergeCell ref="G11:G12"/>
    <mergeCell ref="H11:H12"/>
    <mergeCell ref="I11:I12"/>
    <mergeCell ref="A5:A6"/>
    <mergeCell ref="E5:E6"/>
    <mergeCell ref="G5:G6"/>
    <mergeCell ref="H5:H6"/>
    <mergeCell ref="I5:I6"/>
    <mergeCell ref="H18:H20"/>
    <mergeCell ref="I18:I20"/>
    <mergeCell ref="A24:A25"/>
    <mergeCell ref="E24:E25"/>
    <mergeCell ref="G24:G25"/>
    <mergeCell ref="H24:H25"/>
    <mergeCell ref="I24:I25"/>
    <mergeCell ref="A30:C30"/>
    <mergeCell ref="A32:C32"/>
    <mergeCell ref="A18:A20"/>
    <mergeCell ref="E18:E20"/>
    <mergeCell ref="G18:G20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2026-09-09T01:36:21Z</cp:lastPrinted>
  <dcterms:created xsi:type="dcterms:W3CDTF">2026-09-09T00:32:11Z</dcterms:created>
  <dcterms:modified xsi:type="dcterms:W3CDTF">2026-09-09T02:23:44Z</dcterms:modified>
</cp:coreProperties>
</file>