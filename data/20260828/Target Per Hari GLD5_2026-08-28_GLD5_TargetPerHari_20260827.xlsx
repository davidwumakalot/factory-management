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29" i="1"/>
  <c r="F17"/>
  <c r="F11"/>
  <c r="E29"/>
  <c r="F6"/>
  <c r="F7"/>
  <c r="F8"/>
  <c r="F9"/>
  <c r="F10"/>
  <c r="F13"/>
  <c r="F14"/>
  <c r="F15"/>
  <c r="F16"/>
  <c r="F19"/>
  <c r="F20"/>
  <c r="F21"/>
  <c r="F22"/>
  <c r="F23"/>
  <c r="F24"/>
  <c r="F25"/>
  <c r="F26"/>
  <c r="F27"/>
  <c r="F28"/>
  <c r="F5"/>
  <c r="D36"/>
  <c r="D35"/>
  <c r="D34"/>
  <c r="D33"/>
  <c r="O31" l="1"/>
  <c r="L31"/>
  <c r="I31"/>
  <c r="G31"/>
  <c r="D31"/>
  <c r="O29"/>
  <c r="I29" s="1"/>
  <c r="L29"/>
  <c r="G29"/>
  <c r="D29"/>
  <c r="O27"/>
  <c r="K27"/>
  <c r="I27"/>
  <c r="N28"/>
  <c r="H28"/>
  <c r="N27"/>
  <c r="H27"/>
  <c r="O26"/>
  <c r="K26"/>
  <c r="I26"/>
  <c r="N26"/>
  <c r="H26"/>
  <c r="O25"/>
  <c r="K25"/>
  <c r="I25"/>
  <c r="N25"/>
  <c r="H25"/>
  <c r="O24"/>
  <c r="K24"/>
  <c r="I24"/>
  <c r="N24"/>
  <c r="H24"/>
  <c r="O23"/>
  <c r="K23"/>
  <c r="I23"/>
  <c r="N23"/>
  <c r="H23"/>
  <c r="O22"/>
  <c r="K22"/>
  <c r="I22"/>
  <c r="N22"/>
  <c r="H22"/>
  <c r="O21"/>
  <c r="K21"/>
  <c r="I21"/>
  <c r="N21"/>
  <c r="H21"/>
  <c r="O20"/>
  <c r="K20"/>
  <c r="I20"/>
  <c r="N20"/>
  <c r="H20"/>
  <c r="O19"/>
  <c r="K19"/>
  <c r="I19"/>
  <c r="N19"/>
  <c r="H19"/>
  <c r="O17"/>
  <c r="K17"/>
  <c r="I17"/>
  <c r="N18"/>
  <c r="H18"/>
  <c r="N17"/>
  <c r="H17"/>
  <c r="O16"/>
  <c r="K16"/>
  <c r="I16"/>
  <c r="N16"/>
  <c r="H16"/>
  <c r="O15"/>
  <c r="K15"/>
  <c r="I15"/>
  <c r="N15"/>
  <c r="H15"/>
  <c r="O14"/>
  <c r="K14"/>
  <c r="I14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<sst xmlns="http://schemas.openxmlformats.org/spreadsheetml/2006/main" count="66" uniqueCount="55">
  <si>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</si>
  <si>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</si>
  <si>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</si>
  <si>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</si>
  <si>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</si>
  <si>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</si>
  <si>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</si>
  <si>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</si>
  <si>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</si>
  <si>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</si>
  <si>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</si>
  <si>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</si>
  <si>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</si>
  <si>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</si>
  <si>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</si>
  <si>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</si>
  <si>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</si>
  <si>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</si>
  <si>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</si>
  <si>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</si>
  <si>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</si>
  <si>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</si>
  <si>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</si>
  <si>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</si>
  <si>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</si>
  <si>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</si>
  <si>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</si>
  <si>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</si>
  <si>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</si>
  <si>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</si>
  <si>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</si>
  <si>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</si>
  <si>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</si>
  <si>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</si>
  <si>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</si>
  <si>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P68YG3_C127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</si>
  <si>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</si>
  <si>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</si>
  <si>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</si>
  <si>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</si>
  <si>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</si>
  <si>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</si>
  <si>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</si>
  <si>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</si>
  <si>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MAX233402_Q426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</si>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</sst>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zoomScaleNormal="100" workbookViewId="0">
      <pane ySplit="4" topLeftCell="A5" activePane="bottomLeft" state="frozen"/>
      <selection pane="bottomLeft" activeCell="B9" sqref="B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3.425781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46261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52</v>
      </c>
      <c r="F3" s="43" t="s">
        <v>53</v>
      </c>
      <c r="G3" s="35" t="s">
        <v>5</v>
      </c>
      <c r="H3" s="35" t="s">
        <v>6</v>
      </c>
      <c r="I3" s="35" t="s">
        <v>7</v>
      </c>
      <c r="J3" s="43" t="s">
        <v>54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 ht="15" customHeight="1">
      <c r="A5" s="31" t="s">
        <v>13</v>
      </c>
      <c r="B5" s="3" t="s">
        <v>14</v>
      </c>
      <c r="C5" s="4">
        <v>46220</v>
      </c>
      <c r="D5" s="5">
        <v>18</v>
      </c>
      <c r="E5" s="45">
        <v>30</v>
      </c>
      <c r="F5" s="45">
        <f>D5-E5</f>
        <v>-12</v>
      </c>
      <c r="G5" s="32">
        <v>9</v>
      </c>
      <c r="H5" s="6">
        <f>IF(G5=0,0,D5/G5)</f>
        <v>2</v>
      </c>
      <c r="I5" s="33">
        <f>IF(G5=0,0,SUMPRODUCT(H5:H6,M5:M6)/(L5*2.52))</f>
        <v>1.8438080938080941</v>
      </c>
      <c r="J5" s="48">
        <v>1.65</v>
      </c>
      <c r="K5" s="34">
        <f>I5*L5*G5</f>
        <v>613.9880952380953</v>
      </c>
      <c r="L5" s="34">
        <v>37</v>
      </c>
      <c r="M5" s="5">
        <v>1.81</v>
      </c>
      <c r="N5" s="6">
        <f>2.52/M5*L5</f>
        <v>51.513812154696133</v>
      </c>
      <c r="O5" s="7">
        <f>G5*L5</f>
        <v>333</v>
      </c>
    </row>
    <row r="6" spans="1:15" ht="15" customHeight="1">
      <c r="A6" s="31"/>
      <c r="B6" s="3" t="s">
        <v>15</v>
      </c>
      <c r="C6" s="4">
        <v>46238</v>
      </c>
      <c r="D6" s="5">
        <v>1741</v>
      </c>
      <c r="E6" s="45">
        <v>1751</v>
      </c>
      <c r="F6" s="45">
        <f t="shared" ref="F6:F28" si="0">D6-E6</f>
        <v>-10</v>
      </c>
      <c r="G6" s="32"/>
      <c r="H6" s="6">
        <f>IF(G5=0,0,D6/G5)</f>
        <v>193.44444444444446</v>
      </c>
      <c r="I6" s="33"/>
      <c r="J6" s="49"/>
      <c r="K6" s="34"/>
      <c r="L6" s="34"/>
      <c r="M6" s="5">
        <v>0.87</v>
      </c>
      <c r="N6" s="6">
        <f>2.52/M6*L5</f>
        <v>107.17241379310344</v>
      </c>
      <c r="O6" s="7"/>
    </row>
    <row r="7" spans="1:15" ht="15" customHeight="1">
      <c r="A7" s="8" t="s">
        <v>16</v>
      </c>
      <c r="B7" s="3" t="s">
        <v>15</v>
      </c>
      <c r="C7" s="4">
        <v>46198</v>
      </c>
      <c r="D7" s="5">
        <v>1715</v>
      </c>
      <c r="E7" s="45">
        <v>1715</v>
      </c>
      <c r="F7" s="45">
        <f t="shared" si="0"/>
        <v>0</v>
      </c>
      <c r="G7" s="9">
        <v>9</v>
      </c>
      <c r="H7" s="6">
        <f>IF(G7=0,0,D7/G7)</f>
        <v>190.55555555555554</v>
      </c>
      <c r="I7" s="10">
        <f>IF(G7=0,0,SUMPRODUCT(H7:H7,M7:M7)/(L7*2.52))</f>
        <v>1.8796296296296295</v>
      </c>
      <c r="J7" s="10">
        <v>1.85</v>
      </c>
      <c r="K7" s="11">
        <f>I7*L7*G7</f>
        <v>592.08333333333337</v>
      </c>
      <c r="L7" s="11">
        <v>35</v>
      </c>
      <c r="M7" s="5">
        <v>0.87</v>
      </c>
      <c r="N7" s="6">
        <f>2.52/M7*L7</f>
        <v>101.37931034482759</v>
      </c>
      <c r="O7" s="7">
        <f>G7*L7</f>
        <v>315</v>
      </c>
    </row>
    <row r="8" spans="1:15" ht="15" customHeight="1">
      <c r="A8" s="8" t="s">
        <v>17</v>
      </c>
      <c r="B8" s="3" t="s">
        <v>18</v>
      </c>
      <c r="C8" s="4">
        <v>46245</v>
      </c>
      <c r="D8" s="5">
        <v>752</v>
      </c>
      <c r="E8" s="45">
        <v>739</v>
      </c>
      <c r="F8" s="45">
        <f t="shared" si="0"/>
        <v>13</v>
      </c>
      <c r="G8" s="9">
        <v>9</v>
      </c>
      <c r="H8" s="6">
        <f>IF(G8=0,0,D8/G8)</f>
        <v>83.555555555555557</v>
      </c>
      <c r="I8" s="10">
        <f>IF(G8=0,0,SUMPRODUCT(H8:H8,M8:M8)/(L8*2.52))</f>
        <v>1.4696601363268029</v>
      </c>
      <c r="J8" s="10">
        <v>1.55</v>
      </c>
      <c r="K8" s="11">
        <f>I8*L8*G8</f>
        <v>489.39682539682536</v>
      </c>
      <c r="L8" s="11">
        <v>37</v>
      </c>
      <c r="M8" s="5">
        <v>1.64</v>
      </c>
      <c r="N8" s="6">
        <f>2.52/M8*L8</f>
        <v>56.853658536585364</v>
      </c>
      <c r="O8" s="7">
        <f>G8*L8</f>
        <v>333</v>
      </c>
    </row>
    <row r="9" spans="1:15" ht="15" customHeight="1">
      <c r="A9" s="8" t="s">
        <v>19</v>
      </c>
      <c r="B9" s="3" t="s">
        <v>15</v>
      </c>
      <c r="C9" s="4">
        <v>46219</v>
      </c>
      <c r="D9" s="5">
        <v>1634</v>
      </c>
      <c r="E9" s="45">
        <v>1628</v>
      </c>
      <c r="F9" s="45">
        <f t="shared" si="0"/>
        <v>6</v>
      </c>
      <c r="G9" s="9">
        <v>9</v>
      </c>
      <c r="H9" s="6">
        <f>IF(G9=0,0,D9/G9)</f>
        <v>181.55555555555554</v>
      </c>
      <c r="I9" s="10">
        <f>IF(G9=0,0,SUMPRODUCT(H9:H9,M9:M9)/(L9*2.52))</f>
        <v>1.8435262994086521</v>
      </c>
      <c r="J9" s="10">
        <v>1.88</v>
      </c>
      <c r="K9" s="11">
        <f>I9*L9*G9</f>
        <v>564.11904761904748</v>
      </c>
      <c r="L9" s="11">
        <v>34</v>
      </c>
      <c r="M9" s="5">
        <v>0.87</v>
      </c>
      <c r="N9" s="6">
        <f>2.52/M9*L9</f>
        <v>98.482758620689651</v>
      </c>
      <c r="O9" s="7">
        <f>G9*L9</f>
        <v>306</v>
      </c>
    </row>
    <row r="10" spans="1:15" ht="15" customHeight="1">
      <c r="A10" s="8" t="s">
        <v>20</v>
      </c>
      <c r="B10" s="3" t="s">
        <v>21</v>
      </c>
      <c r="C10" s="4">
        <v>46213</v>
      </c>
      <c r="D10" s="5">
        <v>846</v>
      </c>
      <c r="E10" s="45">
        <v>850</v>
      </c>
      <c r="F10" s="45">
        <f t="shared" si="0"/>
        <v>-4</v>
      </c>
      <c r="G10" s="9">
        <v>9</v>
      </c>
      <c r="H10" s="6">
        <f>IF(G10=0,0,D10/G10)</f>
        <v>94</v>
      </c>
      <c r="I10" s="10">
        <f>IF(G10=0,0,SUMPRODUCT(H10:H10,M10:M10)/(L10*2.52))</f>
        <v>2.0702380952380954</v>
      </c>
      <c r="J10" s="10">
        <v>2.1</v>
      </c>
      <c r="K10" s="11">
        <f>I10*L10*G10</f>
        <v>745.28571428571445</v>
      </c>
      <c r="L10" s="11">
        <v>40</v>
      </c>
      <c r="M10" s="5">
        <v>2.2200000000000002</v>
      </c>
      <c r="N10" s="6">
        <f>2.52/M10*L10</f>
        <v>45.405405405405403</v>
      </c>
      <c r="O10" s="7">
        <f>G10*L10</f>
        <v>360</v>
      </c>
    </row>
    <row r="11" spans="1:15" ht="15" customHeight="1">
      <c r="A11" s="31" t="s">
        <v>22</v>
      </c>
      <c r="B11" s="3" t="s">
        <v>21</v>
      </c>
      <c r="C11" s="4">
        <v>46207</v>
      </c>
      <c r="D11" s="5">
        <v>837</v>
      </c>
      <c r="E11" s="46">
        <v>830</v>
      </c>
      <c r="F11" s="46">
        <f>D11+D12-E11</f>
        <v>11</v>
      </c>
      <c r="G11" s="32">
        <v>9</v>
      </c>
      <c r="H11" s="6">
        <f>IF(G11=0,0,D11/G11)</f>
        <v>93</v>
      </c>
      <c r="I11" s="33">
        <f>IF(G11=0,0,SUMPRODUCT(H11:H12,M11:M12)/(L11*2.52))</f>
        <v>2.1666898728302235</v>
      </c>
      <c r="J11" s="48">
        <v>2.1</v>
      </c>
      <c r="K11" s="34">
        <f>I11*L11*G11</f>
        <v>741.00793650793639</v>
      </c>
      <c r="L11" s="34">
        <v>38</v>
      </c>
      <c r="M11" s="5">
        <v>2.2200000000000002</v>
      </c>
      <c r="N11" s="6">
        <f>2.52/M11*L11</f>
        <v>43.13513513513513</v>
      </c>
      <c r="O11" s="7">
        <f>G11*L11</f>
        <v>342</v>
      </c>
    </row>
    <row r="12" spans="1:15" ht="15" customHeight="1">
      <c r="A12" s="31"/>
      <c r="B12" s="3" t="s">
        <v>21</v>
      </c>
      <c r="C12" s="4">
        <v>46207</v>
      </c>
      <c r="D12" s="5">
        <v>4</v>
      </c>
      <c r="E12" s="47"/>
      <c r="F12" s="47"/>
      <c r="G12" s="32"/>
      <c r="H12" s="6">
        <f>IF(G11=0,0,D12/G11)</f>
        <v>0.44444444444444442</v>
      </c>
      <c r="I12" s="33"/>
      <c r="J12" s="49"/>
      <c r="K12" s="34"/>
      <c r="L12" s="34"/>
      <c r="M12" s="5">
        <v>2.2999999999999998</v>
      </c>
      <c r="N12" s="6">
        <f>2.52/M12*L11</f>
        <v>41.634782608695659</v>
      </c>
      <c r="O12" s="7"/>
    </row>
    <row r="13" spans="1:15" ht="15" customHeight="1">
      <c r="A13" s="8" t="s">
        <v>23</v>
      </c>
      <c r="B13" s="3" t="s">
        <v>24</v>
      </c>
      <c r="C13" s="4">
        <v>46245</v>
      </c>
      <c r="D13" s="5">
        <v>751</v>
      </c>
      <c r="E13" s="45">
        <v>746</v>
      </c>
      <c r="F13" s="45">
        <f t="shared" si="0"/>
        <v>5</v>
      </c>
      <c r="G13" s="9">
        <v>8</v>
      </c>
      <c r="H13" s="6">
        <f>IF(G13=0,0,D13/G13)</f>
        <v>93.875</v>
      </c>
      <c r="I13" s="10">
        <f>IF(G13=0,0,SUMPRODUCT(H13:H13,M13:M13)/(L13*2.52))</f>
        <v>1.1653184778184777</v>
      </c>
      <c r="J13" s="10">
        <v>1</v>
      </c>
      <c r="K13" s="11">
        <f>I13*L13*G13</f>
        <v>363.57936507936506</v>
      </c>
      <c r="L13" s="11">
        <v>39</v>
      </c>
      <c r="M13" s="5">
        <v>1.22</v>
      </c>
      <c r="N13" s="6">
        <f>2.52/M13*L13</f>
        <v>80.557377049180332</v>
      </c>
      <c r="O13" s="7">
        <f>G13*L13</f>
        <v>312</v>
      </c>
    </row>
    <row r="14" spans="1:15" ht="15" customHeight="1">
      <c r="A14" s="8" t="s">
        <v>25</v>
      </c>
      <c r="B14" s="3" t="s">
        <v>26</v>
      </c>
      <c r="C14" s="4">
        <v>46239</v>
      </c>
      <c r="D14" s="5">
        <v>616</v>
      </c>
      <c r="E14" s="45">
        <v>616</v>
      </c>
      <c r="F14" s="45">
        <f t="shared" si="0"/>
        <v>0</v>
      </c>
      <c r="G14" s="9">
        <v>9</v>
      </c>
      <c r="H14" s="6">
        <f>IF(G14=0,0,D14/G14)</f>
        <v>68.444444444444443</v>
      </c>
      <c r="I14" s="10">
        <f>IF(G14=0,0,SUMPRODUCT(H14:H14,M14:M14)/(L14*2.52))</f>
        <v>1.2436647173489279</v>
      </c>
      <c r="J14" s="10">
        <v>1.3</v>
      </c>
      <c r="K14" s="11">
        <f>I14*L14*G14</f>
        <v>425.33333333333331</v>
      </c>
      <c r="L14" s="11">
        <v>38</v>
      </c>
      <c r="M14" s="5">
        <v>1.74</v>
      </c>
      <c r="N14" s="6">
        <f>2.52/M14*L14</f>
        <v>55.03448275862069</v>
      </c>
      <c r="O14" s="7">
        <f>G14*L14</f>
        <v>342</v>
      </c>
    </row>
    <row r="15" spans="1:15" ht="15" customHeight="1">
      <c r="A15" s="8" t="s">
        <v>27</v>
      </c>
      <c r="B15" s="3" t="s">
        <v>26</v>
      </c>
      <c r="C15" s="4">
        <v>46240</v>
      </c>
      <c r="D15" s="5">
        <v>651</v>
      </c>
      <c r="E15" s="45">
        <v>650</v>
      </c>
      <c r="F15" s="45">
        <f t="shared" si="0"/>
        <v>1</v>
      </c>
      <c r="G15" s="9">
        <v>9</v>
      </c>
      <c r="H15" s="6">
        <f>IF(G15=0,0,D15/G15)</f>
        <v>72.333333333333329</v>
      </c>
      <c r="I15" s="10">
        <f>IF(G15=0,0,SUMPRODUCT(H15:H15,M15:M15)/(L15*2.52))</f>
        <v>1.3143274853801168</v>
      </c>
      <c r="J15" s="10">
        <v>1.3</v>
      </c>
      <c r="K15" s="11">
        <f>I15*L15*G15</f>
        <v>449.49999999999994</v>
      </c>
      <c r="L15" s="11">
        <v>38</v>
      </c>
      <c r="M15" s="5">
        <v>1.74</v>
      </c>
      <c r="N15" s="6">
        <f>2.52/M15*L15</f>
        <v>55.03448275862069</v>
      </c>
      <c r="O15" s="7">
        <f>G15*L15</f>
        <v>342</v>
      </c>
    </row>
    <row r="16" spans="1:15" ht="15" customHeight="1">
      <c r="A16" s="8" t="s">
        <v>28</v>
      </c>
      <c r="B16" s="3" t="s">
        <v>29</v>
      </c>
      <c r="C16" s="4">
        <v>46157</v>
      </c>
      <c r="D16" s="5">
        <v>1351</v>
      </c>
      <c r="E16" s="45">
        <v>1351</v>
      </c>
      <c r="F16" s="45">
        <f t="shared" si="0"/>
        <v>0</v>
      </c>
      <c r="G16" s="9">
        <v>9</v>
      </c>
      <c r="H16" s="6">
        <f>IF(G16=0,0,D16/G16)</f>
        <v>150.11111111111111</v>
      </c>
      <c r="I16" s="10">
        <f>IF(G16=0,0,SUMPRODUCT(H16:H16,M16:M16)/(L16*2.52))</f>
        <v>1.8810916179337229</v>
      </c>
      <c r="J16" s="10">
        <v>1.82</v>
      </c>
      <c r="K16" s="11">
        <f>I16*L16*G16</f>
        <v>643.33333333333326</v>
      </c>
      <c r="L16" s="11">
        <v>38</v>
      </c>
      <c r="M16" s="5">
        <v>1.2</v>
      </c>
      <c r="N16" s="6">
        <f>2.52/M16*L16</f>
        <v>79.8</v>
      </c>
      <c r="O16" s="7">
        <f>G16*L16</f>
        <v>342</v>
      </c>
    </row>
    <row r="17" spans="1:15" ht="15" customHeight="1">
      <c r="A17" s="31" t="s">
        <v>30</v>
      </c>
      <c r="B17" s="3" t="s">
        <v>31</v>
      </c>
      <c r="C17" s="4">
        <v>46154</v>
      </c>
      <c r="D17" s="5">
        <v>816</v>
      </c>
      <c r="E17" s="46">
        <v>830</v>
      </c>
      <c r="F17" s="46">
        <f>D17+D18-E17</f>
        <v>0</v>
      </c>
      <c r="G17" s="32">
        <v>9</v>
      </c>
      <c r="H17" s="6">
        <f>IF(G17=0,0,D17/G17)</f>
        <v>90.666666666666671</v>
      </c>
      <c r="I17" s="33">
        <f>IF(G17=0,0,SUMPRODUCT(H17:H18,M17:M18)/(L17*2.52))</f>
        <v>2.1876497987609103</v>
      </c>
      <c r="J17" s="48">
        <v>2.2999999999999998</v>
      </c>
      <c r="K17" s="34">
        <f>I17*L17*G17</f>
        <v>767.86507936507951</v>
      </c>
      <c r="L17" s="34">
        <v>39</v>
      </c>
      <c r="M17" s="5">
        <v>2.33</v>
      </c>
      <c r="N17" s="6">
        <f>2.52/M17*L17</f>
        <v>42.180257510729611</v>
      </c>
      <c r="O17" s="7">
        <f>G17*L17</f>
        <v>351</v>
      </c>
    </row>
    <row r="18" spans="1:15" ht="15" customHeight="1">
      <c r="A18" s="31"/>
      <c r="B18" s="3" t="s">
        <v>31</v>
      </c>
      <c r="C18" s="4">
        <v>46154</v>
      </c>
      <c r="D18" s="5">
        <v>14</v>
      </c>
      <c r="E18" s="47"/>
      <c r="F18" s="47"/>
      <c r="G18" s="32"/>
      <c r="H18" s="6">
        <f>IF(G17=0,0,D18/G17)</f>
        <v>1.5555555555555556</v>
      </c>
      <c r="I18" s="33"/>
      <c r="J18" s="49"/>
      <c r="K18" s="34"/>
      <c r="L18" s="34"/>
      <c r="M18" s="5">
        <v>2.41</v>
      </c>
      <c r="N18" s="6">
        <f>2.52/M18*L17</f>
        <v>40.780082987551864</v>
      </c>
      <c r="O18" s="7"/>
    </row>
    <row r="19" spans="1:15" ht="15" customHeight="1">
      <c r="A19" s="8" t="s">
        <v>32</v>
      </c>
      <c r="B19" s="3" t="s">
        <v>33</v>
      </c>
      <c r="C19" s="4">
        <v>46235</v>
      </c>
      <c r="D19" s="5">
        <v>1012</v>
      </c>
      <c r="E19" s="45">
        <v>1034</v>
      </c>
      <c r="F19" s="45">
        <f t="shared" si="0"/>
        <v>-22</v>
      </c>
      <c r="G19" s="9">
        <v>9</v>
      </c>
      <c r="H19" s="6">
        <f t="shared" ref="H19:H27" si="1">IF(G19=0,0,D19/G19)</f>
        <v>112.44444444444444</v>
      </c>
      <c r="I19" s="10">
        <f t="shared" ref="I19:I26" si="2">IF(G19=0,0,SUMPRODUCT(H19:H19,M19:M19)/(L19*2.52))</f>
        <v>1.3621089761440637</v>
      </c>
      <c r="J19" s="10">
        <v>1.4</v>
      </c>
      <c r="K19" s="11">
        <f t="shared" ref="K19:K27" si="3">I19*L19*G19</f>
        <v>465.84126984126976</v>
      </c>
      <c r="L19" s="11">
        <v>38</v>
      </c>
      <c r="M19" s="5">
        <v>1.1599999999999999</v>
      </c>
      <c r="N19" s="6">
        <f t="shared" ref="N19:N27" si="4">2.52/M19*L19</f>
        <v>82.551724137931046</v>
      </c>
      <c r="O19" s="7">
        <f t="shared" ref="O19:O27" si="5">G19*L19</f>
        <v>342</v>
      </c>
    </row>
    <row r="20" spans="1:15" ht="15" customHeight="1">
      <c r="A20" s="8" t="s">
        <v>34</v>
      </c>
      <c r="B20" s="3" t="s">
        <v>35</v>
      </c>
      <c r="C20" s="4">
        <v>46255</v>
      </c>
      <c r="D20" s="5">
        <v>1040</v>
      </c>
      <c r="E20" s="45">
        <v>1055</v>
      </c>
      <c r="F20" s="45">
        <f t="shared" si="0"/>
        <v>-15</v>
      </c>
      <c r="G20" s="9">
        <v>9</v>
      </c>
      <c r="H20" s="6">
        <f t="shared" si="1"/>
        <v>115.55555555555556</v>
      </c>
      <c r="I20" s="10">
        <f t="shared" si="2"/>
        <v>1.0229276895943562</v>
      </c>
      <c r="J20" s="10">
        <v>1</v>
      </c>
      <c r="K20" s="11">
        <f t="shared" si="3"/>
        <v>359.04761904761904</v>
      </c>
      <c r="L20" s="11">
        <v>39</v>
      </c>
      <c r="M20" s="5">
        <v>0.87</v>
      </c>
      <c r="N20" s="6">
        <f t="shared" si="4"/>
        <v>112.96551724137932</v>
      </c>
      <c r="O20" s="7">
        <f t="shared" si="5"/>
        <v>351</v>
      </c>
    </row>
    <row r="21" spans="1:15" ht="15" customHeight="1">
      <c r="A21" s="8" t="s">
        <v>36</v>
      </c>
      <c r="B21" s="3" t="s">
        <v>37</v>
      </c>
      <c r="C21" s="4">
        <v>46192</v>
      </c>
      <c r="D21" s="5">
        <v>1303</v>
      </c>
      <c r="E21" s="45">
        <v>1300</v>
      </c>
      <c r="F21" s="45">
        <f t="shared" si="0"/>
        <v>3</v>
      </c>
      <c r="G21" s="9">
        <v>9</v>
      </c>
      <c r="H21" s="6">
        <f t="shared" si="1"/>
        <v>144.77777777777777</v>
      </c>
      <c r="I21" s="10">
        <f t="shared" si="2"/>
        <v>1.9352083913487421</v>
      </c>
      <c r="J21" s="10">
        <v>1.64</v>
      </c>
      <c r="K21" s="11">
        <f t="shared" si="3"/>
        <v>661.84126984126988</v>
      </c>
      <c r="L21" s="11">
        <v>38</v>
      </c>
      <c r="M21" s="5">
        <v>1.28</v>
      </c>
      <c r="N21" s="6">
        <f t="shared" si="4"/>
        <v>74.8125</v>
      </c>
      <c r="O21" s="7">
        <f t="shared" si="5"/>
        <v>342</v>
      </c>
    </row>
    <row r="22" spans="1:15" ht="15" customHeight="1">
      <c r="A22" s="8" t="s">
        <v>38</v>
      </c>
      <c r="B22" s="3" t="s">
        <v>15</v>
      </c>
      <c r="C22" s="4">
        <v>46209</v>
      </c>
      <c r="D22" s="5">
        <v>2000</v>
      </c>
      <c r="E22" s="45">
        <v>2000</v>
      </c>
      <c r="F22" s="45">
        <f t="shared" si="0"/>
        <v>0</v>
      </c>
      <c r="G22" s="9">
        <v>9</v>
      </c>
      <c r="H22" s="6">
        <f t="shared" si="1"/>
        <v>222.22222222222223</v>
      </c>
      <c r="I22" s="10">
        <f t="shared" si="2"/>
        <v>2.018936229462545</v>
      </c>
      <c r="J22" s="10">
        <v>2</v>
      </c>
      <c r="K22" s="11">
        <f t="shared" si="3"/>
        <v>690.47619047619037</v>
      </c>
      <c r="L22" s="11">
        <v>38</v>
      </c>
      <c r="M22" s="5">
        <v>0.87</v>
      </c>
      <c r="N22" s="6">
        <f t="shared" si="4"/>
        <v>110.06896551724138</v>
      </c>
      <c r="O22" s="7">
        <f t="shared" si="5"/>
        <v>342</v>
      </c>
    </row>
    <row r="23" spans="1:15" ht="15" customHeight="1">
      <c r="A23" s="8" t="s">
        <v>39</v>
      </c>
      <c r="B23" s="3" t="s">
        <v>15</v>
      </c>
      <c r="C23" s="4">
        <v>46209</v>
      </c>
      <c r="D23" s="5">
        <v>811</v>
      </c>
      <c r="E23" s="45">
        <v>811</v>
      </c>
      <c r="F23" s="45">
        <f t="shared" si="0"/>
        <v>0</v>
      </c>
      <c r="G23" s="9">
        <v>8</v>
      </c>
      <c r="H23" s="6">
        <f t="shared" si="1"/>
        <v>101.375</v>
      </c>
      <c r="I23" s="10">
        <f t="shared" si="2"/>
        <v>0.87496279761904772</v>
      </c>
      <c r="J23" s="10">
        <v>1.87</v>
      </c>
      <c r="K23" s="11">
        <f t="shared" si="3"/>
        <v>279.9880952380953</v>
      </c>
      <c r="L23" s="11">
        <v>40</v>
      </c>
      <c r="M23" s="5">
        <v>0.87</v>
      </c>
      <c r="N23" s="6">
        <f t="shared" si="4"/>
        <v>115.86206896551724</v>
      </c>
      <c r="O23" s="7">
        <f t="shared" si="5"/>
        <v>320</v>
      </c>
    </row>
    <row r="24" spans="1:15" ht="15" customHeight="1">
      <c r="A24" s="8" t="s">
        <v>40</v>
      </c>
      <c r="B24" s="3" t="s">
        <v>21</v>
      </c>
      <c r="C24" s="4">
        <v>46155</v>
      </c>
      <c r="D24" s="5">
        <v>856</v>
      </c>
      <c r="E24" s="45">
        <v>856</v>
      </c>
      <c r="F24" s="45">
        <f t="shared" si="0"/>
        <v>0</v>
      </c>
      <c r="G24" s="9">
        <v>9</v>
      </c>
      <c r="H24" s="6">
        <f t="shared" si="1"/>
        <v>95.111111111111114</v>
      </c>
      <c r="I24" s="10">
        <f t="shared" si="2"/>
        <v>2.094708994708995</v>
      </c>
      <c r="J24" s="10">
        <v>2.1</v>
      </c>
      <c r="K24" s="11">
        <f t="shared" si="3"/>
        <v>754.09523809523819</v>
      </c>
      <c r="L24" s="11">
        <v>40</v>
      </c>
      <c r="M24" s="5">
        <v>2.2200000000000002</v>
      </c>
      <c r="N24" s="6">
        <f t="shared" si="4"/>
        <v>45.405405405405403</v>
      </c>
      <c r="O24" s="7">
        <f t="shared" si="5"/>
        <v>360</v>
      </c>
    </row>
    <row r="25" spans="1:15" ht="15" customHeight="1">
      <c r="A25" s="8" t="s">
        <v>41</v>
      </c>
      <c r="B25" s="3" t="s">
        <v>15</v>
      </c>
      <c r="C25" s="4">
        <v>46219</v>
      </c>
      <c r="D25" s="5">
        <v>1814</v>
      </c>
      <c r="E25" s="45">
        <v>1819</v>
      </c>
      <c r="F25" s="45">
        <f t="shared" si="0"/>
        <v>-5</v>
      </c>
      <c r="G25" s="9">
        <v>9</v>
      </c>
      <c r="H25" s="6">
        <f t="shared" si="1"/>
        <v>201.55555555555554</v>
      </c>
      <c r="I25" s="10">
        <f t="shared" si="2"/>
        <v>1.8806663806663806</v>
      </c>
      <c r="J25" s="10">
        <v>1.91</v>
      </c>
      <c r="K25" s="11">
        <f t="shared" si="3"/>
        <v>626.2619047619047</v>
      </c>
      <c r="L25" s="11">
        <v>37</v>
      </c>
      <c r="M25" s="5">
        <v>0.87</v>
      </c>
      <c r="N25" s="6">
        <f t="shared" si="4"/>
        <v>107.17241379310344</v>
      </c>
      <c r="O25" s="7">
        <f t="shared" si="5"/>
        <v>333</v>
      </c>
    </row>
    <row r="26" spans="1:15" ht="15" customHeight="1">
      <c r="A26" s="8" t="s">
        <v>42</v>
      </c>
      <c r="B26" s="3" t="s">
        <v>15</v>
      </c>
      <c r="C26" s="4">
        <v>46192</v>
      </c>
      <c r="D26" s="5">
        <v>2113</v>
      </c>
      <c r="E26" s="45">
        <v>2120</v>
      </c>
      <c r="F26" s="45">
        <f t="shared" si="0"/>
        <v>-7</v>
      </c>
      <c r="G26" s="9">
        <v>9</v>
      </c>
      <c r="H26" s="6">
        <f t="shared" si="1"/>
        <v>234.77777777777777</v>
      </c>
      <c r="I26" s="10">
        <f t="shared" si="2"/>
        <v>2.078313661646995</v>
      </c>
      <c r="J26" s="10">
        <v>2.06</v>
      </c>
      <c r="K26" s="11">
        <f t="shared" si="3"/>
        <v>729.4880952380953</v>
      </c>
      <c r="L26" s="11">
        <v>39</v>
      </c>
      <c r="M26" s="5">
        <v>0.87</v>
      </c>
      <c r="N26" s="6">
        <f t="shared" si="4"/>
        <v>112.96551724137932</v>
      </c>
      <c r="O26" s="7">
        <f t="shared" si="5"/>
        <v>351</v>
      </c>
    </row>
    <row r="27" spans="1:15" ht="15" customHeight="1">
      <c r="A27" s="31" t="s">
        <v>43</v>
      </c>
      <c r="B27" s="3" t="s">
        <v>44</v>
      </c>
      <c r="C27" s="4">
        <v>46237</v>
      </c>
      <c r="D27" s="5">
        <v>5</v>
      </c>
      <c r="E27" s="45">
        <v>12</v>
      </c>
      <c r="F27" s="45">
        <f t="shared" si="0"/>
        <v>-7</v>
      </c>
      <c r="G27" s="32">
        <v>9</v>
      </c>
      <c r="H27" s="6">
        <f t="shared" si="1"/>
        <v>0.55555555555555558</v>
      </c>
      <c r="I27" s="33">
        <f>IF(G27=0,0,SUMPRODUCT(H27:H28,M27:M28)/(L27*2.52))</f>
        <v>1.4211640211640211</v>
      </c>
      <c r="J27" s="48">
        <v>1.5</v>
      </c>
      <c r="K27" s="34">
        <f t="shared" si="3"/>
        <v>511.61904761904759</v>
      </c>
      <c r="L27" s="34">
        <v>40</v>
      </c>
      <c r="M27" s="5">
        <v>0.79</v>
      </c>
      <c r="N27" s="6">
        <f t="shared" si="4"/>
        <v>127.59493670886074</v>
      </c>
      <c r="O27" s="7">
        <f t="shared" si="5"/>
        <v>360</v>
      </c>
    </row>
    <row r="28" spans="1:15" ht="15" customHeight="1">
      <c r="A28" s="31"/>
      <c r="B28" s="3" t="s">
        <v>45</v>
      </c>
      <c r="C28" s="4">
        <v>46253</v>
      </c>
      <c r="D28" s="5">
        <v>1627</v>
      </c>
      <c r="E28" s="45">
        <v>1627</v>
      </c>
      <c r="F28" s="45">
        <f t="shared" si="0"/>
        <v>0</v>
      </c>
      <c r="G28" s="32"/>
      <c r="H28" s="6">
        <f>IF(G27=0,0,D28/G27)</f>
        <v>180.77777777777777</v>
      </c>
      <c r="I28" s="33"/>
      <c r="J28" s="49"/>
      <c r="K28" s="34"/>
      <c r="L28" s="34"/>
      <c r="M28" s="5">
        <v>0.79</v>
      </c>
      <c r="N28" s="6">
        <f>2.52/M28*L27</f>
        <v>127.59493670886074</v>
      </c>
      <c r="O28" s="7"/>
    </row>
    <row r="29" spans="1:15">
      <c r="A29" s="25" t="s">
        <v>46</v>
      </c>
      <c r="B29" s="26"/>
      <c r="C29" s="27"/>
      <c r="D29" s="12">
        <f>SUM(D5:D28)</f>
        <v>24327</v>
      </c>
      <c r="E29" s="12">
        <f>SUM(E5:E28)</f>
        <v>24370</v>
      </c>
      <c r="F29" s="12">
        <f>F5+F6+F10+F19+F20+F25+F26+F27</f>
        <v>-82</v>
      </c>
      <c r="G29" s="13">
        <f>SUM(G5:G28)</f>
        <v>178</v>
      </c>
      <c r="H29" s="14"/>
      <c r="I29" s="15">
        <f>SUM(K5:K28)/O29</f>
        <v>1.6926022707848936</v>
      </c>
      <c r="J29" s="15"/>
      <c r="K29" s="12"/>
      <c r="L29" s="12">
        <f>SUM(L5:L28)</f>
        <v>762</v>
      </c>
      <c r="M29" s="12"/>
      <c r="N29" s="14"/>
      <c r="O29" s="16">
        <f>SUM(O5:O28)</f>
        <v>6779</v>
      </c>
    </row>
    <row r="30" spans="1:15">
      <c r="A30" s="17"/>
      <c r="B30" s="5"/>
      <c r="C30" s="4"/>
      <c r="D30" s="5"/>
      <c r="E30" s="5"/>
      <c r="F30" s="5"/>
      <c r="G30" s="18"/>
      <c r="H30" s="6"/>
      <c r="I30" s="19"/>
      <c r="J30" s="19"/>
      <c r="K30" s="5"/>
      <c r="L30" s="5"/>
      <c r="M30" s="5"/>
      <c r="N30" s="6"/>
      <c r="O30" s="7"/>
    </row>
    <row r="31" spans="1:15" ht="13.5" thickBot="1">
      <c r="A31" s="28" t="s">
        <v>47</v>
      </c>
      <c r="B31" s="29"/>
      <c r="C31" s="30"/>
      <c r="D31" s="20">
        <f>SUMIF(A5:A30, "&lt;&gt;Summary", D5:D30)</f>
        <v>24327</v>
      </c>
      <c r="E31" s="20"/>
      <c r="F31" s="20"/>
      <c r="G31" s="21">
        <f>SUMIF(A5:A30, "&lt;&gt;Summary", G5:G30)</f>
        <v>178</v>
      </c>
      <c r="H31" s="22"/>
      <c r="I31" s="23">
        <f>SUMIF(A5:A30, "&lt;&gt;Summary", K5:K30)/O31</f>
        <v>1.6926022707848936</v>
      </c>
      <c r="J31" s="23"/>
      <c r="K31" s="20"/>
      <c r="L31" s="20">
        <f>SUMIF(A5:A30, "&lt;&gt;Summary", L5:L30)</f>
        <v>762</v>
      </c>
      <c r="M31" s="20"/>
      <c r="N31" s="22"/>
      <c r="O31" s="24">
        <f>SUMIF(A5:A30, "&lt;&gt;Summary", O5:O30)</f>
        <v>6779</v>
      </c>
    </row>
    <row r="32" spans="1:15" ht="13.5" thickTop="1"/>
    <row r="33" spans="3:6">
      <c r="C33" s="41" t="s">
        <v>48</v>
      </c>
      <c r="D33" s="42">
        <f>SUM(K5:K10)/SUM(O5:O10)</f>
        <v>1.8244523472210175</v>
      </c>
      <c r="E33" s="42"/>
      <c r="F33" s="42"/>
    </row>
    <row r="34" spans="3:6">
      <c r="C34" s="41" t="s">
        <v>49</v>
      </c>
      <c r="D34" s="42">
        <f>SUM(K11:K16)/SUM(O11:O16)</f>
        <v>1.5611630763416477</v>
      </c>
      <c r="E34" s="42"/>
      <c r="F34" s="42"/>
    </row>
    <row r="35" spans="3:6">
      <c r="C35" s="41" t="s">
        <v>50</v>
      </c>
      <c r="D35" s="42">
        <f>SUM(K17:K22)/SUM(O17:O22)</f>
        <v>1.7043237433862435</v>
      </c>
      <c r="E35" s="42"/>
      <c r="F35" s="42"/>
    </row>
    <row r="36" spans="3:6">
      <c r="C36" s="41" t="s">
        <v>51</v>
      </c>
      <c r="D36" s="42">
        <f>SUM(K23:K28)/SUM(O23:O28)</f>
        <v>1.6829770191139102</v>
      </c>
      <c r="E36" s="42"/>
      <c r="F36" s="42"/>
    </row>
  </sheetData>
  <mergeCells count="45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E11:E12"/>
    <mergeCell ref="F11:F12"/>
    <mergeCell ref="J11:J12"/>
    <mergeCell ref="A5:A6"/>
    <mergeCell ref="G5:G6"/>
    <mergeCell ref="I5:I6"/>
    <mergeCell ref="K5:K6"/>
    <mergeCell ref="L5:L6"/>
    <mergeCell ref="J5:J6"/>
    <mergeCell ref="K17:K18"/>
    <mergeCell ref="L17:L18"/>
    <mergeCell ref="A27:A28"/>
    <mergeCell ref="G27:G28"/>
    <mergeCell ref="I27:I28"/>
    <mergeCell ref="K27:K28"/>
    <mergeCell ref="L27:L28"/>
    <mergeCell ref="E17:E18"/>
    <mergeCell ref="F17:F18"/>
    <mergeCell ref="J17:J18"/>
    <mergeCell ref="J27:J28"/>
    <mergeCell ref="A29:C29"/>
    <mergeCell ref="A31:C31"/>
    <mergeCell ref="A17:A18"/>
    <mergeCell ref="G17:G18"/>
    <mergeCell ref="I17:I18"/>
  </mergeCells>
  <printOptions horizontalCentered="1"/>
  <pageMargins left="0.2" right="0.2" top="1" bottom="0.2" header="0.2" footer="0.2"/>
  <pageSetup paperSize="9" scale="73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2026-08-28T01:01:07Z</cp:lastPrinted>
  <dcterms:created xsi:type="dcterms:W3CDTF">2026-08-28T00:47:40Z</dcterms:created>
  <dcterms:modified xsi:type="dcterms:W3CDTF">2026-08-28T01:03:43Z</dcterms:modified>
</cp:coreProperties>
</file>