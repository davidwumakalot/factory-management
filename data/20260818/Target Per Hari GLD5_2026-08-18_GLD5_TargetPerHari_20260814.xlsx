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24" i="1"/>
  <c r="F16"/>
  <c r="F10"/>
  <c r="E31"/>
  <c r="F6"/>
  <c r="F7"/>
  <c r="F8"/>
  <c r="F31" s="1"/>
  <c r="F9"/>
  <c r="F12"/>
  <c r="F13"/>
  <c r="F14"/>
  <c r="F15"/>
  <c r="F18"/>
  <c r="F19"/>
  <c r="F20"/>
  <c r="F21"/>
  <c r="F22"/>
  <c r="F23"/>
  <c r="F25"/>
  <c r="F26"/>
  <c r="F27"/>
  <c r="F28"/>
  <c r="F29"/>
  <c r="F30"/>
  <c r="F5"/>
  <c r="D38"/>
  <c r="D37"/>
  <c r="D36"/>
  <c r="D35"/>
  <c r="O33" l="1"/>
  <c r="I33" s="1"/>
  <c r="L33"/>
  <c r="G33"/>
  <c r="D33"/>
  <c r="O31"/>
  <c r="I31" s="1"/>
  <c r="L31"/>
  <c r="G31"/>
  <c r="D31"/>
  <c r="O29"/>
  <c r="K29"/>
  <c r="I29"/>
  <c r="N30"/>
  <c r="H30"/>
  <c r="N29"/>
  <c r="H29"/>
  <c r="O28"/>
  <c r="K28"/>
  <c r="I28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2"/>
  <c r="K22"/>
  <c r="I22"/>
  <c r="N23"/>
  <c r="H23"/>
  <c r="N22"/>
  <c r="H22"/>
  <c r="O21"/>
  <c r="K21"/>
  <c r="I21"/>
  <c r="N21"/>
  <c r="H21"/>
  <c r="O19"/>
  <c r="K19"/>
  <c r="I19"/>
  <c r="N20"/>
  <c r="H20"/>
  <c r="N19"/>
  <c r="H19"/>
  <c r="O18"/>
  <c r="K18"/>
  <c r="I18"/>
  <c r="N18"/>
  <c r="H18"/>
  <c r="O16"/>
  <c r="K16"/>
  <c r="I16"/>
  <c r="N17"/>
  <c r="H17"/>
  <c r="N16"/>
  <c r="H16"/>
  <c r="O15"/>
  <c r="K15"/>
  <c r="I15"/>
  <c r="N15"/>
  <c r="H15"/>
  <c r="O13"/>
  <c r="K13"/>
  <c r="I13"/>
  <c r="N14"/>
  <c r="H14"/>
  <c r="N13"/>
  <c r="H13"/>
  <c r="O12"/>
  <c r="K12"/>
  <c r="I12"/>
  <c r="N12"/>
  <c r="H12"/>
  <c r="O10"/>
  <c r="K10"/>
  <c r="I10"/>
  <c r="N11"/>
  <c r="H11"/>
  <c r="N10"/>
  <c r="H10"/>
  <c r="O9"/>
  <c r="K9"/>
  <c r="I9"/>
  <c r="N9"/>
  <c r="H9"/>
  <c r="O8"/>
  <c r="K8"/>
  <c r="I8"/>
  <c r="N8"/>
  <c r="H8"/>
  <c r="O7"/>
  <c r="K7"/>
  <c r="I7"/>
  <c r="N7"/>
  <c r="H7"/>
  <c r="O6"/>
  <c r="K6"/>
  <c r="I6"/>
  <c r="N6"/>
  <c r="H6"/>
  <c r="O5"/>
  <c r="K5"/>
  <c r="I5"/>
  <c r="N5"/>
  <c r="H5"/>
</calcChain>
</file>

<file path=xl/sharedStrings.xml><?xml version="1.0" encoding="utf-8"?>
<sst xmlns="http://schemas.openxmlformats.org/spreadsheetml/2006/main" count="68" uniqueCount="56">
  <si>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</si>
  <si>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</si>
  <si>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</si>
  <si>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</si>
  <si>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</si>
  <si>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</si>
  <si>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</si>
  <si>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</si>
  <si>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</si>
  <si>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</si>
  <si>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</si>
  <si>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</si>
  <si>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</si>
  <si>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</si>
  <si>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</si>
  <si>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</si>
  <si>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</si>
  <si>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</si>
  <si>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</si>
  <si>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</si>
  <si>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</si>
  <si>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</si>
  <si>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</si>
  <si>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</si>
  <si>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</si>
  <si>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319260006</t>
  </si>
  <si>
    <t>ST841_FA26</t>
  </si>
  <si>
    <t>5-09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</si>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</sst>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zoomScaleNormal="100" workbookViewId="0">
      <pane ySplit="4" topLeftCell="A5" activePane="bottomLeft" state="frozen"/>
      <selection pane="bottomLeft" activeCell="A6" sqref="A6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6.285156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46248</v>
      </c>
    </row>
    <row r="2" spans="1:15" ht="13.5" thickBot="1"/>
    <row r="3" spans="1:15" ht="13.5" thickTop="1">
      <c r="A3" s="40" t="s">
        <v>1</v>
      </c>
      <c r="B3" s="36" t="s">
        <v>2</v>
      </c>
      <c r="C3" s="36" t="s">
        <v>3</v>
      </c>
      <c r="D3" s="36" t="s">
        <v>4</v>
      </c>
      <c r="E3" s="44" t="s">
        <v>53</v>
      </c>
      <c r="F3" s="44" t="s">
        <v>54</v>
      </c>
      <c r="G3" s="36" t="s">
        <v>5</v>
      </c>
      <c r="H3" s="36" t="s">
        <v>6</v>
      </c>
      <c r="I3" s="36" t="s">
        <v>7</v>
      </c>
      <c r="J3" s="44" t="s">
        <v>55</v>
      </c>
      <c r="K3" s="36" t="s">
        <v>8</v>
      </c>
      <c r="L3" s="36" t="s">
        <v>9</v>
      </c>
      <c r="M3" s="36" t="s">
        <v>10</v>
      </c>
      <c r="N3" s="36" t="s">
        <v>11</v>
      </c>
      <c r="O3" s="38" t="s">
        <v>12</v>
      </c>
    </row>
    <row r="4" spans="1:15">
      <c r="A4" s="41"/>
      <c r="B4" s="37"/>
      <c r="C4" s="37"/>
      <c r="D4" s="37"/>
      <c r="E4" s="45"/>
      <c r="F4" s="45"/>
      <c r="G4" s="37"/>
      <c r="H4" s="37"/>
      <c r="I4" s="37"/>
      <c r="J4" s="45"/>
      <c r="K4" s="37"/>
      <c r="L4" s="37"/>
      <c r="M4" s="37"/>
      <c r="N4" s="37"/>
      <c r="O4" s="39"/>
    </row>
    <row r="5" spans="1:15" ht="16.5" customHeight="1">
      <c r="A5" s="3" t="s">
        <v>13</v>
      </c>
      <c r="B5" s="4" t="s">
        <v>14</v>
      </c>
      <c r="C5" s="5">
        <v>46238</v>
      </c>
      <c r="D5" s="6">
        <v>1401</v>
      </c>
      <c r="E5" s="46">
        <v>1401</v>
      </c>
      <c r="F5" s="46">
        <f>D5-E5</f>
        <v>0</v>
      </c>
      <c r="G5" s="7">
        <v>8</v>
      </c>
      <c r="H5" s="8">
        <f t="shared" ref="H5:H10" si="0">IF(G5=0,0,D5/G5)</f>
        <v>175.125</v>
      </c>
      <c r="I5" s="9">
        <f>IF(G5=0,0,SUMPRODUCT(H5:H5,M5:M5)/(L5*2.52))</f>
        <v>1.6340492277992278</v>
      </c>
      <c r="J5" s="12">
        <v>1.5</v>
      </c>
      <c r="K5" s="10">
        <f t="shared" ref="K5:K10" si="1">I5*L5*G5</f>
        <v>483.67857142857144</v>
      </c>
      <c r="L5" s="10">
        <v>37</v>
      </c>
      <c r="M5" s="6">
        <v>0.87</v>
      </c>
      <c r="N5" s="8">
        <f t="shared" ref="N5:N10" si="2">2.52/M5*L5</f>
        <v>107.17241379310344</v>
      </c>
      <c r="O5" s="11">
        <f t="shared" ref="O5:O10" si="3">G5*L5</f>
        <v>296</v>
      </c>
    </row>
    <row r="6" spans="1:15" ht="16.5" customHeight="1">
      <c r="A6" s="3" t="s">
        <v>15</v>
      </c>
      <c r="B6" s="4" t="s">
        <v>14</v>
      </c>
      <c r="C6" s="5">
        <v>46198</v>
      </c>
      <c r="D6" s="6">
        <v>1600</v>
      </c>
      <c r="E6" s="46">
        <v>1600</v>
      </c>
      <c r="F6" s="46">
        <f t="shared" ref="F6:F30" si="4">D6-E6</f>
        <v>0</v>
      </c>
      <c r="G6" s="7">
        <v>8</v>
      </c>
      <c r="H6" s="8">
        <f t="shared" si="0"/>
        <v>200</v>
      </c>
      <c r="I6" s="9">
        <f>IF(G6=0,0,SUMPRODUCT(H6:H6,M6:M6)/(L6*2.52))</f>
        <v>1.9727891156462585</v>
      </c>
      <c r="J6" s="12">
        <v>1.79</v>
      </c>
      <c r="K6" s="10">
        <f t="shared" si="1"/>
        <v>552.38095238095241</v>
      </c>
      <c r="L6" s="10">
        <v>35</v>
      </c>
      <c r="M6" s="6">
        <v>0.87</v>
      </c>
      <c r="N6" s="8">
        <f t="shared" si="2"/>
        <v>101.37931034482759</v>
      </c>
      <c r="O6" s="11">
        <f t="shared" si="3"/>
        <v>280</v>
      </c>
    </row>
    <row r="7" spans="1:15" ht="16.5" customHeight="1">
      <c r="A7" s="3" t="s">
        <v>16</v>
      </c>
      <c r="B7" s="4" t="s">
        <v>17</v>
      </c>
      <c r="C7" s="5">
        <v>46245</v>
      </c>
      <c r="D7" s="6">
        <v>495</v>
      </c>
      <c r="E7" s="46">
        <v>488</v>
      </c>
      <c r="F7" s="46">
        <f t="shared" si="4"/>
        <v>7</v>
      </c>
      <c r="G7" s="7">
        <v>8</v>
      </c>
      <c r="H7" s="8">
        <f t="shared" si="0"/>
        <v>61.875</v>
      </c>
      <c r="I7" s="9">
        <f>IF(G7=0,0,SUMPRODUCT(H7:H7,M7:M7)/(L7*2.52))</f>
        <v>1.0596804511278195</v>
      </c>
      <c r="J7" s="12">
        <v>1</v>
      </c>
      <c r="K7" s="10">
        <f t="shared" si="1"/>
        <v>322.14285714285711</v>
      </c>
      <c r="L7" s="10">
        <v>38</v>
      </c>
      <c r="M7" s="6">
        <v>1.64</v>
      </c>
      <c r="N7" s="8">
        <f t="shared" si="2"/>
        <v>58.390243902439025</v>
      </c>
      <c r="O7" s="11">
        <f t="shared" si="3"/>
        <v>304</v>
      </c>
    </row>
    <row r="8" spans="1:15" ht="16.5" customHeight="1">
      <c r="A8" s="3" t="s">
        <v>18</v>
      </c>
      <c r="B8" s="4" t="s">
        <v>14</v>
      </c>
      <c r="C8" s="5">
        <v>46219</v>
      </c>
      <c r="D8" s="6">
        <v>1663</v>
      </c>
      <c r="E8" s="46">
        <v>1681</v>
      </c>
      <c r="F8" s="46">
        <f t="shared" si="4"/>
        <v>-18</v>
      </c>
      <c r="G8" s="7">
        <v>8</v>
      </c>
      <c r="H8" s="8">
        <f t="shared" si="0"/>
        <v>207.875</v>
      </c>
      <c r="I8" s="9">
        <f>IF(G8=0,0,SUMPRODUCT(H8:H8,M8:M8)/(L8*2.52))</f>
        <v>1.9935102513227512</v>
      </c>
      <c r="J8" s="12">
        <v>1.85</v>
      </c>
      <c r="K8" s="10">
        <f t="shared" si="1"/>
        <v>574.13095238095229</v>
      </c>
      <c r="L8" s="10">
        <v>36</v>
      </c>
      <c r="M8" s="6">
        <v>0.87</v>
      </c>
      <c r="N8" s="8">
        <f t="shared" si="2"/>
        <v>104.27586206896552</v>
      </c>
      <c r="O8" s="11">
        <f t="shared" si="3"/>
        <v>288</v>
      </c>
    </row>
    <row r="9" spans="1:15" ht="16.5" customHeight="1">
      <c r="A9" s="3" t="s">
        <v>19</v>
      </c>
      <c r="B9" s="4" t="s">
        <v>20</v>
      </c>
      <c r="C9" s="5">
        <v>46213</v>
      </c>
      <c r="D9" s="6">
        <v>750</v>
      </c>
      <c r="E9" s="46">
        <v>750</v>
      </c>
      <c r="F9" s="46">
        <f t="shared" si="4"/>
        <v>0</v>
      </c>
      <c r="G9" s="7">
        <v>8</v>
      </c>
      <c r="H9" s="8">
        <f t="shared" si="0"/>
        <v>93.75</v>
      </c>
      <c r="I9" s="9">
        <f>IF(G9=0,0,SUMPRODUCT(H9:H9,M9:M9)/(L9*2.52))</f>
        <v>2.1176739926739931</v>
      </c>
      <c r="J9" s="12">
        <v>2.1</v>
      </c>
      <c r="K9" s="10">
        <f t="shared" si="1"/>
        <v>660.71428571428589</v>
      </c>
      <c r="L9" s="10">
        <v>39</v>
      </c>
      <c r="M9" s="6">
        <v>2.2200000000000002</v>
      </c>
      <c r="N9" s="8">
        <f t="shared" si="2"/>
        <v>44.270270270270267</v>
      </c>
      <c r="O9" s="11">
        <f t="shared" si="3"/>
        <v>312</v>
      </c>
    </row>
    <row r="10" spans="1:15" ht="16.5" customHeight="1">
      <c r="A10" s="32" t="s">
        <v>21</v>
      </c>
      <c r="B10" s="4" t="s">
        <v>20</v>
      </c>
      <c r="C10" s="5">
        <v>46207</v>
      </c>
      <c r="D10" s="6">
        <v>661</v>
      </c>
      <c r="E10" s="47">
        <v>707</v>
      </c>
      <c r="F10" s="47">
        <f>D10+D11-E10</f>
        <v>-29</v>
      </c>
      <c r="G10" s="33">
        <v>8</v>
      </c>
      <c r="H10" s="8">
        <f t="shared" si="0"/>
        <v>82.625</v>
      </c>
      <c r="I10" s="34">
        <f>IF(G10=0,0,SUMPRODUCT(H10:H11,M10:M11)/(L10*2.52))</f>
        <v>1.9665309106098579</v>
      </c>
      <c r="J10" s="49">
        <v>2.0499999999999998</v>
      </c>
      <c r="K10" s="35">
        <f t="shared" si="1"/>
        <v>597.82539682539675</v>
      </c>
      <c r="L10" s="35">
        <v>38</v>
      </c>
      <c r="M10" s="6">
        <v>2.2200000000000002</v>
      </c>
      <c r="N10" s="8">
        <f t="shared" si="2"/>
        <v>43.13513513513513</v>
      </c>
      <c r="O10" s="11">
        <f t="shared" si="3"/>
        <v>304</v>
      </c>
    </row>
    <row r="11" spans="1:15" ht="16.5" customHeight="1">
      <c r="A11" s="32"/>
      <c r="B11" s="4" t="s">
        <v>20</v>
      </c>
      <c r="C11" s="5">
        <v>46207</v>
      </c>
      <c r="D11" s="6">
        <v>17</v>
      </c>
      <c r="E11" s="48"/>
      <c r="F11" s="48"/>
      <c r="G11" s="33"/>
      <c r="H11" s="8">
        <f>IF(G10=0,0,D11/G10)</f>
        <v>2.125</v>
      </c>
      <c r="I11" s="34"/>
      <c r="J11" s="50"/>
      <c r="K11" s="35"/>
      <c r="L11" s="35"/>
      <c r="M11" s="6">
        <v>2.2999999999999998</v>
      </c>
      <c r="N11" s="8">
        <f>2.52/M11*L10</f>
        <v>41.634782608695659</v>
      </c>
      <c r="O11" s="11"/>
    </row>
    <row r="12" spans="1:15" ht="16.5" customHeight="1">
      <c r="A12" s="3" t="s">
        <v>22</v>
      </c>
      <c r="B12" s="4" t="s">
        <v>23</v>
      </c>
      <c r="C12" s="5">
        <v>46245</v>
      </c>
      <c r="D12" s="6">
        <v>660</v>
      </c>
      <c r="E12" s="46">
        <v>653</v>
      </c>
      <c r="F12" s="46">
        <f t="shared" si="4"/>
        <v>7</v>
      </c>
      <c r="G12" s="7">
        <v>8</v>
      </c>
      <c r="H12" s="8">
        <f>IF(G12=0,0,D12/G12)</f>
        <v>82.5</v>
      </c>
      <c r="I12" s="9">
        <f>IF(G12=0,0,SUMPRODUCT(H12:H12,M12:M12)/(L12*2.52))</f>
        <v>1.051065162907268</v>
      </c>
      <c r="J12" s="12">
        <v>1</v>
      </c>
      <c r="K12" s="10">
        <f>I12*L12*G12</f>
        <v>319.52380952380946</v>
      </c>
      <c r="L12" s="10">
        <v>38</v>
      </c>
      <c r="M12" s="6">
        <v>1.22</v>
      </c>
      <c r="N12" s="8">
        <f>2.52/M12*L12</f>
        <v>78.491803278688522</v>
      </c>
      <c r="O12" s="11">
        <f>G12*L12</f>
        <v>304</v>
      </c>
    </row>
    <row r="13" spans="1:15" ht="16.5" customHeight="1">
      <c r="A13" s="32" t="s">
        <v>24</v>
      </c>
      <c r="B13" s="4" t="s">
        <v>25</v>
      </c>
      <c r="C13" s="5">
        <v>46232</v>
      </c>
      <c r="D13" s="6">
        <v>21</v>
      </c>
      <c r="E13" s="46">
        <v>21</v>
      </c>
      <c r="F13" s="46">
        <f t="shared" si="4"/>
        <v>0</v>
      </c>
      <c r="G13" s="33">
        <v>8</v>
      </c>
      <c r="H13" s="8">
        <f>IF(G13=0,0,D13/G13)</f>
        <v>2.625</v>
      </c>
      <c r="I13" s="34">
        <f>IF(G13=0,0,SUMPRODUCT(H13:H14,M13:M14)/(L13*2.52))</f>
        <v>1.2125234962406015</v>
      </c>
      <c r="J13" s="49">
        <v>1.2</v>
      </c>
      <c r="K13" s="35">
        <f>I13*L13*G13</f>
        <v>368.60714285714289</v>
      </c>
      <c r="L13" s="35">
        <v>38</v>
      </c>
      <c r="M13" s="6">
        <v>0.65</v>
      </c>
      <c r="N13" s="8">
        <f>2.52/M13*L13</f>
        <v>147.32307692307691</v>
      </c>
      <c r="O13" s="11">
        <f>G13*L13</f>
        <v>304</v>
      </c>
    </row>
    <row r="14" spans="1:15" ht="16.5" customHeight="1">
      <c r="A14" s="32"/>
      <c r="B14" s="4" t="s">
        <v>26</v>
      </c>
      <c r="C14" s="5">
        <v>46239</v>
      </c>
      <c r="D14" s="6">
        <v>526</v>
      </c>
      <c r="E14" s="46">
        <v>532</v>
      </c>
      <c r="F14" s="46">
        <f t="shared" si="4"/>
        <v>-6</v>
      </c>
      <c r="G14" s="33"/>
      <c r="H14" s="8">
        <f>IF(G13=0,0,D14/G13)</f>
        <v>65.75</v>
      </c>
      <c r="I14" s="34"/>
      <c r="J14" s="50"/>
      <c r="K14" s="35"/>
      <c r="L14" s="35"/>
      <c r="M14" s="6">
        <v>1.74</v>
      </c>
      <c r="N14" s="8">
        <f>2.52/M14*L13</f>
        <v>55.03448275862069</v>
      </c>
      <c r="O14" s="11"/>
    </row>
    <row r="15" spans="1:15" ht="16.5" customHeight="1">
      <c r="A15" s="3" t="s">
        <v>27</v>
      </c>
      <c r="B15" s="4" t="s">
        <v>26</v>
      </c>
      <c r="C15" s="5">
        <v>46240</v>
      </c>
      <c r="D15" s="6">
        <v>527</v>
      </c>
      <c r="E15" s="46">
        <v>532</v>
      </c>
      <c r="F15" s="46">
        <f t="shared" si="4"/>
        <v>-5</v>
      </c>
      <c r="G15" s="7">
        <v>8</v>
      </c>
      <c r="H15" s="8">
        <f>IF(G15=0,0,D15/G15)</f>
        <v>65.875</v>
      </c>
      <c r="I15" s="9">
        <f>IF(G15=0,0,SUMPRODUCT(H15:H15,M15:M15)/(L15*2.52))</f>
        <v>1.229327541827542</v>
      </c>
      <c r="J15" s="12">
        <v>1.2</v>
      </c>
      <c r="K15" s="10">
        <f>I15*L15*G15</f>
        <v>363.88095238095241</v>
      </c>
      <c r="L15" s="10">
        <v>37</v>
      </c>
      <c r="M15" s="6">
        <v>1.74</v>
      </c>
      <c r="N15" s="8">
        <f>2.52/M15*L15</f>
        <v>53.586206896551722</v>
      </c>
      <c r="O15" s="11">
        <f>G15*L15</f>
        <v>296</v>
      </c>
    </row>
    <row r="16" spans="1:15" ht="16.5" customHeight="1">
      <c r="A16" s="32" t="s">
        <v>28</v>
      </c>
      <c r="B16" s="4" t="s">
        <v>29</v>
      </c>
      <c r="C16" s="5">
        <v>46157</v>
      </c>
      <c r="D16" s="6">
        <v>1210</v>
      </c>
      <c r="E16" s="47">
        <v>1213</v>
      </c>
      <c r="F16" s="47">
        <f>D16+D17-E16</f>
        <v>0</v>
      </c>
      <c r="G16" s="33">
        <v>8</v>
      </c>
      <c r="H16" s="8">
        <f>IF(G16=0,0,D16/G16)</f>
        <v>151.25</v>
      </c>
      <c r="I16" s="34">
        <f>IF(G16=0,0,SUMPRODUCT(H16:H17,M16:M17)/(L16*2.52))</f>
        <v>1.8514575702075702</v>
      </c>
      <c r="J16" s="49">
        <v>1.97</v>
      </c>
      <c r="K16" s="35">
        <f>I16*L16*G16</f>
        <v>577.65476190476193</v>
      </c>
      <c r="L16" s="35">
        <v>39</v>
      </c>
      <c r="M16" s="6">
        <v>1.2</v>
      </c>
      <c r="N16" s="8">
        <f>2.52/M16*L16</f>
        <v>81.900000000000006</v>
      </c>
      <c r="O16" s="11">
        <f>G16*L16</f>
        <v>312</v>
      </c>
    </row>
    <row r="17" spans="1:15" ht="16.5" customHeight="1">
      <c r="A17" s="32"/>
      <c r="B17" s="4" t="s">
        <v>29</v>
      </c>
      <c r="C17" s="5">
        <v>46157</v>
      </c>
      <c r="D17" s="6">
        <v>3</v>
      </c>
      <c r="E17" s="48"/>
      <c r="F17" s="48"/>
      <c r="G17" s="33"/>
      <c r="H17" s="8">
        <f>IF(G16=0,0,D17/G16)</f>
        <v>0.375</v>
      </c>
      <c r="I17" s="34"/>
      <c r="J17" s="50"/>
      <c r="K17" s="35"/>
      <c r="L17" s="35"/>
      <c r="M17" s="6">
        <v>1.23</v>
      </c>
      <c r="N17" s="8">
        <f>2.52/M17*L16</f>
        <v>79.902439024390247</v>
      </c>
      <c r="O17" s="11"/>
    </row>
    <row r="18" spans="1:15" ht="16.5" customHeight="1">
      <c r="A18" s="3" t="s">
        <v>30</v>
      </c>
      <c r="B18" s="4" t="s">
        <v>31</v>
      </c>
      <c r="C18" s="5">
        <v>46154</v>
      </c>
      <c r="D18" s="6">
        <v>773</v>
      </c>
      <c r="E18" s="46">
        <v>766</v>
      </c>
      <c r="F18" s="46">
        <f t="shared" si="4"/>
        <v>7</v>
      </c>
      <c r="G18" s="7">
        <v>8</v>
      </c>
      <c r="H18" s="8">
        <f>IF(G18=0,0,D18/G18)</f>
        <v>96.625</v>
      </c>
      <c r="I18" s="9">
        <f>IF(G18=0,0,SUMPRODUCT(H18:H18,M18:M18)/(L18*2.52))</f>
        <v>2.351046888053467</v>
      </c>
      <c r="J18" s="12">
        <v>2.2999999999999998</v>
      </c>
      <c r="K18" s="10">
        <f>I18*L18*G18</f>
        <v>714.71825396825398</v>
      </c>
      <c r="L18" s="10">
        <v>38</v>
      </c>
      <c r="M18" s="6">
        <v>2.33</v>
      </c>
      <c r="N18" s="8">
        <f>2.52/M18*L18</f>
        <v>41.098712446351925</v>
      </c>
      <c r="O18" s="11">
        <f>G18*L18</f>
        <v>304</v>
      </c>
    </row>
    <row r="19" spans="1:15" ht="16.5" customHeight="1">
      <c r="A19" s="32" t="s">
        <v>32</v>
      </c>
      <c r="B19" s="4" t="s">
        <v>33</v>
      </c>
      <c r="C19" s="5">
        <v>46221</v>
      </c>
      <c r="D19" s="6">
        <v>8</v>
      </c>
      <c r="E19" s="46">
        <v>8</v>
      </c>
      <c r="F19" s="46">
        <f t="shared" si="4"/>
        <v>0</v>
      </c>
      <c r="G19" s="33">
        <v>8</v>
      </c>
      <c r="H19" s="8">
        <f>IF(G19=0,0,D19/G19)</f>
        <v>1</v>
      </c>
      <c r="I19" s="34">
        <f>IF(G19=0,0,SUMPRODUCT(H19:H20,M19:M20)/(L19*2.52))</f>
        <v>1.3803088803088803</v>
      </c>
      <c r="J19" s="49">
        <v>1.2</v>
      </c>
      <c r="K19" s="35">
        <f>I19*L19*G19</f>
        <v>408.57142857142856</v>
      </c>
      <c r="L19" s="35">
        <v>37</v>
      </c>
      <c r="M19" s="6">
        <v>1.1000000000000001</v>
      </c>
      <c r="N19" s="8">
        <f>2.52/M19*L19</f>
        <v>84.763636363636351</v>
      </c>
      <c r="O19" s="11">
        <f>G19*L19</f>
        <v>296</v>
      </c>
    </row>
    <row r="20" spans="1:15" ht="16.5" customHeight="1">
      <c r="A20" s="32"/>
      <c r="B20" s="4" t="s">
        <v>34</v>
      </c>
      <c r="C20" s="5">
        <v>46235</v>
      </c>
      <c r="D20" s="6">
        <v>880</v>
      </c>
      <c r="E20" s="46">
        <v>880</v>
      </c>
      <c r="F20" s="46">
        <f t="shared" si="4"/>
        <v>0</v>
      </c>
      <c r="G20" s="33"/>
      <c r="H20" s="8">
        <f>IF(G19=0,0,D20/G19)</f>
        <v>110</v>
      </c>
      <c r="I20" s="34"/>
      <c r="J20" s="50"/>
      <c r="K20" s="35"/>
      <c r="L20" s="35"/>
      <c r="M20" s="6">
        <v>1.1599999999999999</v>
      </c>
      <c r="N20" s="8">
        <f>2.52/M20*L19</f>
        <v>80.379310344827587</v>
      </c>
      <c r="O20" s="11"/>
    </row>
    <row r="21" spans="1:15" ht="16.5" customHeight="1">
      <c r="A21" s="3" t="s">
        <v>35</v>
      </c>
      <c r="B21" s="4" t="s">
        <v>36</v>
      </c>
      <c r="C21" s="5">
        <v>46220</v>
      </c>
      <c r="D21" s="6">
        <v>782</v>
      </c>
      <c r="E21" s="46">
        <v>782</v>
      </c>
      <c r="F21" s="46">
        <f t="shared" si="4"/>
        <v>0</v>
      </c>
      <c r="G21" s="7">
        <v>8</v>
      </c>
      <c r="H21" s="8">
        <f>IF(G21=0,0,D21/G21)</f>
        <v>97.75</v>
      </c>
      <c r="I21" s="9">
        <f>IF(G21=0,0,SUMPRODUCT(H21:H21,M21:M21)/(L21*2.52))</f>
        <v>1.5714794464794464</v>
      </c>
      <c r="J21" s="12">
        <v>1.52</v>
      </c>
      <c r="K21" s="10">
        <f>I21*L21*G21</f>
        <v>490.30158730158729</v>
      </c>
      <c r="L21" s="10">
        <v>39</v>
      </c>
      <c r="M21" s="6">
        <v>1.58</v>
      </c>
      <c r="N21" s="8">
        <f>2.52/M21*L21</f>
        <v>62.202531645569614</v>
      </c>
      <c r="O21" s="11">
        <f>G21*L21</f>
        <v>312</v>
      </c>
    </row>
    <row r="22" spans="1:15" ht="16.5" customHeight="1">
      <c r="A22" s="32" t="s">
        <v>37</v>
      </c>
      <c r="B22" s="4" t="s">
        <v>17</v>
      </c>
      <c r="C22" s="5">
        <v>46203</v>
      </c>
      <c r="D22" s="6">
        <v>7</v>
      </c>
      <c r="E22" s="46">
        <v>7</v>
      </c>
      <c r="F22" s="46">
        <f t="shared" si="4"/>
        <v>0</v>
      </c>
      <c r="G22" s="33">
        <v>8</v>
      </c>
      <c r="H22" s="8">
        <f>IF(G22=0,0,D22/G22)</f>
        <v>0.875</v>
      </c>
      <c r="I22" s="34">
        <f>IF(G22=0,0,SUMPRODUCT(H22:H23,M22:M23)/(L22*2.52))</f>
        <v>1.3953895154553049</v>
      </c>
      <c r="J22" s="49">
        <v>1.2</v>
      </c>
      <c r="K22" s="35">
        <f>I22*L22*G22</f>
        <v>424.19841269841265</v>
      </c>
      <c r="L22" s="35">
        <v>38</v>
      </c>
      <c r="M22" s="6">
        <v>1.64</v>
      </c>
      <c r="N22" s="8">
        <f>2.52/M22*L22</f>
        <v>58.390243902439025</v>
      </c>
      <c r="O22" s="11">
        <f>G22*L22</f>
        <v>304</v>
      </c>
    </row>
    <row r="23" spans="1:15" ht="16.5" customHeight="1">
      <c r="A23" s="32"/>
      <c r="B23" s="4" t="s">
        <v>38</v>
      </c>
      <c r="C23" s="5">
        <v>46214</v>
      </c>
      <c r="D23" s="6">
        <v>750</v>
      </c>
      <c r="E23" s="46">
        <v>750</v>
      </c>
      <c r="F23" s="46">
        <f t="shared" si="4"/>
        <v>0</v>
      </c>
      <c r="G23" s="33"/>
      <c r="H23" s="8">
        <f>IF(G22=0,0,D23/G22)</f>
        <v>93.75</v>
      </c>
      <c r="I23" s="34"/>
      <c r="J23" s="50"/>
      <c r="K23" s="35"/>
      <c r="L23" s="35"/>
      <c r="M23" s="6">
        <v>1.41</v>
      </c>
      <c r="N23" s="8">
        <f>2.52/M23*L22</f>
        <v>67.914893617021278</v>
      </c>
      <c r="O23" s="11"/>
    </row>
    <row r="24" spans="1:15" ht="16.5" customHeight="1">
      <c r="A24" s="3" t="s">
        <v>39</v>
      </c>
      <c r="B24" s="4" t="s">
        <v>14</v>
      </c>
      <c r="C24" s="5">
        <v>46209</v>
      </c>
      <c r="D24" s="6">
        <v>1664</v>
      </c>
      <c r="E24" s="46">
        <v>1664</v>
      </c>
      <c r="F24" s="46">
        <f t="shared" si="4"/>
        <v>0</v>
      </c>
      <c r="G24" s="7">
        <v>8</v>
      </c>
      <c r="H24" s="8">
        <f t="shared" ref="H24:H29" si="5">IF(G24=0,0,D24/G24)</f>
        <v>208</v>
      </c>
      <c r="I24" s="9">
        <f>IF(G24=0,0,SUMPRODUCT(H24:H24,M24:M24)/(L24*2.52))</f>
        <v>1.8897243107769424</v>
      </c>
      <c r="J24" s="12">
        <v>1.9</v>
      </c>
      <c r="K24" s="10">
        <f t="shared" ref="K24:K29" si="6">I24*L24*G24</f>
        <v>574.47619047619048</v>
      </c>
      <c r="L24" s="10">
        <v>38</v>
      </c>
      <c r="M24" s="6">
        <v>0.87</v>
      </c>
      <c r="N24" s="8">
        <f t="shared" ref="N24:N29" si="7">2.52/M24*L24</f>
        <v>110.06896551724138</v>
      </c>
      <c r="O24" s="11">
        <f t="shared" ref="O24:O29" si="8">G24*L24</f>
        <v>304</v>
      </c>
    </row>
    <row r="25" spans="1:15" ht="16.5" customHeight="1">
      <c r="A25" s="3" t="s">
        <v>40</v>
      </c>
      <c r="B25" s="4" t="s">
        <v>14</v>
      </c>
      <c r="C25" s="5">
        <v>46209</v>
      </c>
      <c r="D25" s="6">
        <v>1630</v>
      </c>
      <c r="E25" s="46">
        <v>1630</v>
      </c>
      <c r="F25" s="46">
        <f t="shared" si="4"/>
        <v>0</v>
      </c>
      <c r="G25" s="7">
        <v>8</v>
      </c>
      <c r="H25" s="8">
        <f t="shared" si="5"/>
        <v>203.75</v>
      </c>
      <c r="I25" s="9">
        <f>IF(G25=0,0,SUMPRODUCT(H25:H25,M25:M25)/(L25*2.52))</f>
        <v>1.8511121553884711</v>
      </c>
      <c r="J25" s="12">
        <v>1.8</v>
      </c>
      <c r="K25" s="10">
        <f t="shared" si="6"/>
        <v>562.73809523809518</v>
      </c>
      <c r="L25" s="10">
        <v>38</v>
      </c>
      <c r="M25" s="6">
        <v>0.87</v>
      </c>
      <c r="N25" s="8">
        <f t="shared" si="7"/>
        <v>110.06896551724138</v>
      </c>
      <c r="O25" s="11">
        <f t="shared" si="8"/>
        <v>304</v>
      </c>
    </row>
    <row r="26" spans="1:15" ht="16.5" customHeight="1">
      <c r="A26" s="3" t="s">
        <v>41</v>
      </c>
      <c r="B26" s="4" t="s">
        <v>20</v>
      </c>
      <c r="C26" s="5">
        <v>46155</v>
      </c>
      <c r="D26" s="6">
        <v>761</v>
      </c>
      <c r="E26" s="46">
        <v>761</v>
      </c>
      <c r="F26" s="46">
        <f t="shared" si="4"/>
        <v>0</v>
      </c>
      <c r="G26" s="7">
        <v>8</v>
      </c>
      <c r="H26" s="8">
        <f t="shared" si="5"/>
        <v>95.125</v>
      </c>
      <c r="I26" s="9">
        <f>IF(G26=0,0,SUMPRODUCT(H26:H26,M26:M26)/(L26*2.52))</f>
        <v>2.1487332112332114</v>
      </c>
      <c r="J26" s="12">
        <v>2.11</v>
      </c>
      <c r="K26" s="10">
        <f t="shared" si="6"/>
        <v>670.40476190476193</v>
      </c>
      <c r="L26" s="10">
        <v>39</v>
      </c>
      <c r="M26" s="6">
        <v>2.2200000000000002</v>
      </c>
      <c r="N26" s="8">
        <f t="shared" si="7"/>
        <v>44.270270270270267</v>
      </c>
      <c r="O26" s="11">
        <f t="shared" si="8"/>
        <v>312</v>
      </c>
    </row>
    <row r="27" spans="1:15" ht="16.5" customHeight="1">
      <c r="A27" s="3" t="s">
        <v>42</v>
      </c>
      <c r="B27" s="4" t="s">
        <v>14</v>
      </c>
      <c r="C27" s="5">
        <v>46219</v>
      </c>
      <c r="D27" s="6">
        <v>1562</v>
      </c>
      <c r="E27" s="46">
        <v>1552</v>
      </c>
      <c r="F27" s="46">
        <f t="shared" si="4"/>
        <v>10</v>
      </c>
      <c r="G27" s="7">
        <v>8</v>
      </c>
      <c r="H27" s="8">
        <f t="shared" si="5"/>
        <v>195.25</v>
      </c>
      <c r="I27" s="9">
        <f>IF(G27=0,0,SUMPRODUCT(H27:H27,M27:M27)/(L27*2.52))</f>
        <v>1.9259353741496599</v>
      </c>
      <c r="J27" s="12">
        <v>1.75</v>
      </c>
      <c r="K27" s="10">
        <f t="shared" si="6"/>
        <v>539.26190476190482</v>
      </c>
      <c r="L27" s="10">
        <v>35</v>
      </c>
      <c r="M27" s="6">
        <v>0.87</v>
      </c>
      <c r="N27" s="8">
        <f t="shared" si="7"/>
        <v>101.37931034482759</v>
      </c>
      <c r="O27" s="11">
        <f t="shared" si="8"/>
        <v>280</v>
      </c>
    </row>
    <row r="28" spans="1:15" ht="16.5" customHeight="1">
      <c r="A28" s="3" t="s">
        <v>43</v>
      </c>
      <c r="B28" s="4" t="s">
        <v>14</v>
      </c>
      <c r="C28" s="5">
        <v>46192</v>
      </c>
      <c r="D28" s="6">
        <v>1720</v>
      </c>
      <c r="E28" s="46">
        <v>1725</v>
      </c>
      <c r="F28" s="46">
        <f t="shared" si="4"/>
        <v>-5</v>
      </c>
      <c r="G28" s="7">
        <v>8</v>
      </c>
      <c r="H28" s="8">
        <f t="shared" si="5"/>
        <v>215</v>
      </c>
      <c r="I28" s="9">
        <f>IF(G28=0,0,SUMPRODUCT(H28:H28,M28:M28)/(L28*2.52))</f>
        <v>1.9032356532356534</v>
      </c>
      <c r="J28" s="12">
        <v>1.99</v>
      </c>
      <c r="K28" s="10">
        <f t="shared" si="6"/>
        <v>593.80952380952385</v>
      </c>
      <c r="L28" s="10">
        <v>39</v>
      </c>
      <c r="M28" s="6">
        <v>0.87</v>
      </c>
      <c r="N28" s="8">
        <f t="shared" si="7"/>
        <v>112.96551724137932</v>
      </c>
      <c r="O28" s="11">
        <f t="shared" si="8"/>
        <v>312</v>
      </c>
    </row>
    <row r="29" spans="1:15" ht="16.5" customHeight="1">
      <c r="A29" s="32" t="s">
        <v>44</v>
      </c>
      <c r="B29" s="4" t="s">
        <v>45</v>
      </c>
      <c r="C29" s="5">
        <v>46237</v>
      </c>
      <c r="D29" s="6">
        <v>7</v>
      </c>
      <c r="E29" s="46">
        <v>2</v>
      </c>
      <c r="F29" s="46">
        <f t="shared" si="4"/>
        <v>5</v>
      </c>
      <c r="G29" s="33">
        <v>8</v>
      </c>
      <c r="H29" s="8">
        <f t="shared" si="5"/>
        <v>0.875</v>
      </c>
      <c r="I29" s="34">
        <f>IF(G29=0,0,SUMPRODUCT(H29:H30,M29:M30)/(L29*2.52))</f>
        <v>1.3217503217503219</v>
      </c>
      <c r="J29" s="49">
        <v>1.7</v>
      </c>
      <c r="K29" s="35">
        <f t="shared" si="6"/>
        <v>391.2380952380953</v>
      </c>
      <c r="L29" s="35">
        <v>37</v>
      </c>
      <c r="M29" s="6">
        <v>0.79</v>
      </c>
      <c r="N29" s="8">
        <f t="shared" si="7"/>
        <v>118.02531645569618</v>
      </c>
      <c r="O29" s="11">
        <f t="shared" si="8"/>
        <v>296</v>
      </c>
    </row>
    <row r="30" spans="1:15" ht="16.5" customHeight="1">
      <c r="A30" s="32"/>
      <c r="B30" s="4" t="s">
        <v>46</v>
      </c>
      <c r="C30" s="5">
        <v>46244</v>
      </c>
      <c r="D30" s="6">
        <v>1241</v>
      </c>
      <c r="E30" s="46">
        <v>1202</v>
      </c>
      <c r="F30" s="46">
        <f t="shared" si="4"/>
        <v>39</v>
      </c>
      <c r="G30" s="33"/>
      <c r="H30" s="8">
        <f>IF(G29=0,0,D30/G29)</f>
        <v>155.125</v>
      </c>
      <c r="I30" s="34"/>
      <c r="J30" s="50"/>
      <c r="K30" s="35"/>
      <c r="L30" s="35"/>
      <c r="M30" s="6">
        <v>0.79</v>
      </c>
      <c r="N30" s="8">
        <f>2.52/M30*L29</f>
        <v>118.02531645569618</v>
      </c>
      <c r="O30" s="11"/>
    </row>
    <row r="31" spans="1:15">
      <c r="A31" s="26" t="s">
        <v>47</v>
      </c>
      <c r="B31" s="27"/>
      <c r="C31" s="28"/>
      <c r="D31" s="13">
        <f>SUM(D5:D30)</f>
        <v>21319</v>
      </c>
      <c r="E31" s="13">
        <f>SUM(E5:E30)</f>
        <v>21307</v>
      </c>
      <c r="F31" s="13">
        <f>F8+F10+F14+F15+F28</f>
        <v>-63</v>
      </c>
      <c r="G31" s="14">
        <f>SUM(G5:G30)</f>
        <v>160</v>
      </c>
      <c r="H31" s="15"/>
      <c r="I31" s="16">
        <f>SUM(K5:K30)/O31</f>
        <v>1.691609883218449</v>
      </c>
      <c r="J31" s="16"/>
      <c r="K31" s="13"/>
      <c r="L31" s="13">
        <f>SUM(L5:L30)</f>
        <v>753</v>
      </c>
      <c r="M31" s="13"/>
      <c r="N31" s="15"/>
      <c r="O31" s="17">
        <f>SUM(O5:O30)</f>
        <v>6024</v>
      </c>
    </row>
    <row r="32" spans="1:15">
      <c r="A32" s="18"/>
      <c r="B32" s="6"/>
      <c r="C32" s="5"/>
      <c r="D32" s="6"/>
      <c r="E32" s="6"/>
      <c r="F32" s="6"/>
      <c r="G32" s="19"/>
      <c r="H32" s="8"/>
      <c r="I32" s="20"/>
      <c r="J32" s="20"/>
      <c r="K32" s="6"/>
      <c r="L32" s="6"/>
      <c r="M32" s="6"/>
      <c r="N32" s="8"/>
      <c r="O32" s="11"/>
    </row>
    <row r="33" spans="1:15" ht="13.5" thickBot="1">
      <c r="A33" s="29" t="s">
        <v>48</v>
      </c>
      <c r="B33" s="30"/>
      <c r="C33" s="31"/>
      <c r="D33" s="21">
        <f>SUMIF(A5:A32, "&lt;&gt;Summary", D5:D32)</f>
        <v>21319</v>
      </c>
      <c r="E33" s="21"/>
      <c r="F33" s="21"/>
      <c r="G33" s="22">
        <f>SUMIF(A5:A32, "&lt;&gt;Summary", G5:G32)</f>
        <v>160</v>
      </c>
      <c r="H33" s="23"/>
      <c r="I33" s="24">
        <f>SUMIF(A5:A32, "&lt;&gt;Summary", K5:K32)/O33</f>
        <v>1.691609883218449</v>
      </c>
      <c r="J33" s="24"/>
      <c r="K33" s="21"/>
      <c r="L33" s="21">
        <f>SUMIF(A5:A32, "&lt;&gt;Summary", L5:L32)</f>
        <v>753</v>
      </c>
      <c r="M33" s="21"/>
      <c r="N33" s="23"/>
      <c r="O33" s="25">
        <f>SUMIF(A5:A32, "&lt;&gt;Summary", O5:O32)</f>
        <v>6024</v>
      </c>
    </row>
    <row r="34" spans="1:15" ht="13.5" thickTop="1"/>
    <row r="35" spans="1:15">
      <c r="C35" s="42" t="s">
        <v>49</v>
      </c>
      <c r="D35" s="43">
        <f>SUM(K5:K9)/SUM(O5:O9)</f>
        <v>1.7520592020592023</v>
      </c>
      <c r="E35" s="43"/>
      <c r="F35" s="43"/>
    </row>
    <row r="36" spans="1:15">
      <c r="C36" s="42" t="s">
        <v>50</v>
      </c>
      <c r="D36" s="43">
        <f>SUM(K10:K17)/SUM(O10:O17)</f>
        <v>1.4654553049289891</v>
      </c>
      <c r="E36" s="43"/>
      <c r="F36" s="43"/>
    </row>
    <row r="37" spans="1:15">
      <c r="C37" s="42" t="s">
        <v>51</v>
      </c>
      <c r="D37" s="43">
        <f>SUM(K18:K24)/SUM(O18:O24)</f>
        <v>1.7185959690893899</v>
      </c>
      <c r="E37" s="43"/>
      <c r="F37" s="43"/>
    </row>
    <row r="38" spans="1:15">
      <c r="C38" s="42" t="s">
        <v>52</v>
      </c>
      <c r="D38" s="43">
        <f>SUM(K25:K30)/SUM(O25:O30)</f>
        <v>1.8334124873353599</v>
      </c>
      <c r="E38" s="43"/>
      <c r="F38" s="43"/>
    </row>
  </sheetData>
  <mergeCells count="57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3:A14"/>
    <mergeCell ref="G13:G14"/>
    <mergeCell ref="I13:I14"/>
    <mergeCell ref="K13:K14"/>
    <mergeCell ref="L13:L14"/>
    <mergeCell ref="J13:J14"/>
    <mergeCell ref="A10:A11"/>
    <mergeCell ref="G10:G11"/>
    <mergeCell ref="I10:I11"/>
    <mergeCell ref="K10:K11"/>
    <mergeCell ref="L10:L11"/>
    <mergeCell ref="E10:E11"/>
    <mergeCell ref="F10:F11"/>
    <mergeCell ref="J10:J11"/>
    <mergeCell ref="A19:A20"/>
    <mergeCell ref="G19:G20"/>
    <mergeCell ref="I19:I20"/>
    <mergeCell ref="K19:K20"/>
    <mergeCell ref="L19:L20"/>
    <mergeCell ref="J19:J20"/>
    <mergeCell ref="A16:A17"/>
    <mergeCell ref="G16:G17"/>
    <mergeCell ref="I16:I17"/>
    <mergeCell ref="K16:K17"/>
    <mergeCell ref="L16:L17"/>
    <mergeCell ref="E16:E17"/>
    <mergeCell ref="F16:F17"/>
    <mergeCell ref="J16:J17"/>
    <mergeCell ref="K22:K23"/>
    <mergeCell ref="L22:L23"/>
    <mergeCell ref="A29:A30"/>
    <mergeCell ref="G29:G30"/>
    <mergeCell ref="I29:I30"/>
    <mergeCell ref="K29:K30"/>
    <mergeCell ref="L29:L30"/>
    <mergeCell ref="J22:J23"/>
    <mergeCell ref="J29:J30"/>
    <mergeCell ref="A31:C31"/>
    <mergeCell ref="A33:C33"/>
    <mergeCell ref="A22:A23"/>
    <mergeCell ref="G22:G23"/>
    <mergeCell ref="I22:I23"/>
  </mergeCells>
  <printOptions horizontalCentered="1"/>
  <pageMargins left="0.2" right="0.2" top="1" bottom="0.2" header="0.2" footer="0.2"/>
  <pageSetup paperSize="9" scale="68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2026-08-18T01:06:35Z</cp:lastPrinted>
  <dcterms:created xsi:type="dcterms:W3CDTF">2026-08-18T00:48:56Z</dcterms:created>
  <dcterms:modified xsi:type="dcterms:W3CDTF">2026-08-18T01:11:28Z</dcterms:modified>
</cp:coreProperties>
</file>