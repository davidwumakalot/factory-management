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3" i="1"/>
  <c r="E33"/>
  <c r="D33"/>
  <c r="I31"/>
  <c r="E31"/>
  <c r="D31"/>
  <c r="L30"/>
  <c r="G30"/>
  <c r="H30" s="1"/>
  <c r="K30"/>
  <c r="F30"/>
  <c r="L29"/>
  <c r="H29"/>
  <c r="G29"/>
  <c r="K29"/>
  <c r="F29"/>
  <c r="L28"/>
  <c r="K28"/>
  <c r="F28"/>
  <c r="G28" s="1"/>
  <c r="H28" s="1"/>
  <c r="L27"/>
  <c r="K27"/>
  <c r="F27"/>
  <c r="G27" s="1"/>
  <c r="H27" s="1"/>
  <c r="L26"/>
  <c r="G26"/>
  <c r="H26" s="1"/>
  <c r="K26"/>
  <c r="F26"/>
  <c r="L25"/>
  <c r="H25"/>
  <c r="G25"/>
  <c r="K25"/>
  <c r="F25"/>
  <c r="L23"/>
  <c r="K24"/>
  <c r="F24"/>
  <c r="K23"/>
  <c r="F23"/>
  <c r="G23" s="1"/>
  <c r="H23" s="1"/>
  <c r="L22"/>
  <c r="H22"/>
  <c r="G22"/>
  <c r="K22"/>
  <c r="F22"/>
  <c r="L20"/>
  <c r="K21"/>
  <c r="F21"/>
  <c r="K20"/>
  <c r="F20"/>
  <c r="G20" s="1"/>
  <c r="H20" s="1"/>
  <c r="L18"/>
  <c r="K19"/>
  <c r="F19"/>
  <c r="K18"/>
  <c r="F18"/>
  <c r="G18" s="1"/>
  <c r="H18" s="1"/>
  <c r="D37" s="1"/>
  <c r="L17"/>
  <c r="G17"/>
  <c r="H17" s="1"/>
  <c r="K17"/>
  <c r="F17"/>
  <c r="L16"/>
  <c r="G16"/>
  <c r="H16" s="1"/>
  <c r="K16"/>
  <c r="F16"/>
  <c r="L14"/>
  <c r="K15"/>
  <c r="F15"/>
  <c r="K14"/>
  <c r="F14"/>
  <c r="G14" s="1"/>
  <c r="H14" s="1"/>
  <c r="L13"/>
  <c r="G13"/>
  <c r="H13" s="1"/>
  <c r="K13"/>
  <c r="F13"/>
  <c r="L10"/>
  <c r="K12"/>
  <c r="F12"/>
  <c r="K11"/>
  <c r="F11"/>
  <c r="K10"/>
  <c r="F10"/>
  <c r="G10" s="1"/>
  <c r="H10" s="1"/>
  <c r="D36" s="1"/>
  <c r="L9"/>
  <c r="K9"/>
  <c r="F9"/>
  <c r="G9" s="1"/>
  <c r="H9" s="1"/>
  <c r="L8"/>
  <c r="G8"/>
  <c r="H8" s="1"/>
  <c r="K8"/>
  <c r="F8"/>
  <c r="L7"/>
  <c r="G7"/>
  <c r="H7" s="1"/>
  <c r="K7"/>
  <c r="F7"/>
  <c r="L6"/>
  <c r="K6"/>
  <c r="F6"/>
  <c r="G6" s="1"/>
  <c r="H6" s="1"/>
  <c r="L5"/>
  <c r="L31" s="1"/>
  <c r="K5"/>
  <c r="F5"/>
  <c r="G5" s="1"/>
  <c r="H5" s="1"/>
  <c r="G31" l="1"/>
  <c r="D35"/>
  <c r="D38"/>
  <c r="L33"/>
  <c r="G33" s="1"/>
</calcChain>
</file>

<file path=xl/sharedStrings.xml><?xml version="1.0" encoding="utf-8"?>
<sst xmlns="http://schemas.openxmlformats.org/spreadsheetml/2006/main" count="65" uniqueCount="53">
  <si>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</si>
  <si>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</si>
  <si>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</si>
  <si>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</si>
  <si>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</si>
  <si>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</si>
  <si>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</si>
  <si>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</si>
  <si>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</si>
  <si>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</si>
  <si>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</si>
  <si>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</si>
  <si>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</si>
  <si>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</si>
  <si>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</si>
  <si>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</si>
  <si>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</si>
  <si>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319260007</t>
  </si>
  <si>
    <t>5-04</t>
  </si>
  <si>
    <t>5-05</t>
  </si>
  <si>
    <t>W98Z8Z_C426IND</t>
  </si>
  <si>
    <t>5-06</t>
  </si>
  <si>
    <t>L0R516_C426IND</t>
  </si>
  <si>
    <t>5-07</t>
  </si>
  <si>
    <t>LK881_FA26</t>
  </si>
  <si>
    <t>5-08</t>
  </si>
  <si>
    <t>319260006</t>
  </si>
  <si>
    <t>ST841_FA26</t>
  </si>
  <si>
    <t>5-09</t>
  </si>
  <si>
    <t>5-10</t>
  </si>
  <si>
    <t>ZS5FR410_FA26</t>
  </si>
  <si>
    <t>5-11</t>
  </si>
  <si>
    <t>5-12</t>
  </si>
  <si>
    <t>1K62MR_C426</t>
  </si>
  <si>
    <t>K864_FA26</t>
  </si>
  <si>
    <t>5-13</t>
  </si>
  <si>
    <t>MX6FK108_HO26</t>
  </si>
  <si>
    <t>5-14</t>
  </si>
  <si>
    <t>K880_FA26</t>
  </si>
  <si>
    <t>LK880_FA26</t>
  </si>
  <si>
    <t>5-15</t>
  </si>
  <si>
    <t>5-16</t>
  </si>
  <si>
    <t>5-17</t>
  </si>
  <si>
    <t>5-18</t>
  </si>
  <si>
    <t>5-19</t>
  </si>
  <si>
    <t>5-20</t>
  </si>
  <si>
    <t>MAX233402_Q426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</si>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</sst>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>
      <pane ySplit="4" topLeftCell="A5" activePane="bottomLeft" state="frozen"/>
      <selection pane="bottomLeft" activeCell="P15" sqref="P15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46241</v>
      </c>
    </row>
    <row r="2" spans="1:12" ht="13.5" thickBot="1"/>
    <row r="3" spans="1:12" ht="13.5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" t="s">
        <v>13</v>
      </c>
      <c r="B5" s="4" t="s">
        <v>14</v>
      </c>
      <c r="C5" s="5">
        <v>46238</v>
      </c>
      <c r="D5" s="6">
        <v>1011</v>
      </c>
      <c r="E5" s="7">
        <v>8</v>
      </c>
      <c r="F5" s="8">
        <f>IF(E5=0,0,D5/E5)</f>
        <v>126.375</v>
      </c>
      <c r="G5" s="9">
        <f>IF(E5=0,0,SUMPRODUCT(F5:F5,J5:J5)/(I5*2.52))</f>
        <v>1.2119295634920635</v>
      </c>
      <c r="H5" s="10">
        <f t="shared" ref="H5:H10" si="0">G5*I5*E5</f>
        <v>349.03571428571428</v>
      </c>
      <c r="I5" s="10">
        <v>36</v>
      </c>
      <c r="J5" s="6">
        <v>0.87</v>
      </c>
      <c r="K5" s="8">
        <f t="shared" ref="K5:K10" si="1">2.52/J5*I5</f>
        <v>104.27586206896552</v>
      </c>
      <c r="L5" s="11">
        <f t="shared" ref="L5:L10" si="2">E5*I5</f>
        <v>288</v>
      </c>
    </row>
    <row r="6" spans="1:12">
      <c r="A6" s="3" t="s">
        <v>15</v>
      </c>
      <c r="B6" s="4" t="s">
        <v>14</v>
      </c>
      <c r="C6" s="5">
        <v>46198</v>
      </c>
      <c r="D6" s="6">
        <v>1455</v>
      </c>
      <c r="E6" s="7">
        <v>8</v>
      </c>
      <c r="F6" s="8">
        <f>IF(E6=0,0,D6/E6)</f>
        <v>181.875</v>
      </c>
      <c r="G6" s="9">
        <f>IF(E6=0,0,SUMPRODUCT(F6:F6,J6:J6)/(I6*2.52))</f>
        <v>1.6523731203007517</v>
      </c>
      <c r="H6" s="10">
        <f t="shared" si="0"/>
        <v>502.3214285714285</v>
      </c>
      <c r="I6" s="10">
        <v>38</v>
      </c>
      <c r="J6" s="6">
        <v>0.87</v>
      </c>
      <c r="K6" s="8">
        <f t="shared" si="1"/>
        <v>110.06896551724138</v>
      </c>
      <c r="L6" s="11">
        <f t="shared" si="2"/>
        <v>304</v>
      </c>
    </row>
    <row r="7" spans="1:12">
      <c r="A7" s="3" t="s">
        <v>16</v>
      </c>
      <c r="B7" s="4" t="s">
        <v>17</v>
      </c>
      <c r="C7" s="5">
        <v>46230</v>
      </c>
      <c r="D7" s="6">
        <v>1278</v>
      </c>
      <c r="E7" s="7">
        <v>8</v>
      </c>
      <c r="F7" s="8">
        <f>IF(E7=0,0,D7/E7)</f>
        <v>159.75</v>
      </c>
      <c r="G7" s="9">
        <f>IF(E7=0,0,SUMPRODUCT(F7:F7,J7:J7)/(I7*2.52))</f>
        <v>1.4967757936507937</v>
      </c>
      <c r="H7" s="10">
        <f t="shared" si="0"/>
        <v>431.07142857142861</v>
      </c>
      <c r="I7" s="10">
        <v>36</v>
      </c>
      <c r="J7" s="6">
        <v>0.85</v>
      </c>
      <c r="K7" s="8">
        <f t="shared" si="1"/>
        <v>106.72941176470589</v>
      </c>
      <c r="L7" s="11">
        <f t="shared" si="2"/>
        <v>288</v>
      </c>
    </row>
    <row r="8" spans="1:12">
      <c r="A8" s="3" t="s">
        <v>18</v>
      </c>
      <c r="B8" s="4" t="s">
        <v>14</v>
      </c>
      <c r="C8" s="5">
        <v>46219</v>
      </c>
      <c r="D8" s="6">
        <v>1533</v>
      </c>
      <c r="E8" s="7">
        <v>8</v>
      </c>
      <c r="F8" s="8">
        <f>IF(E8=0,0,D8/E8)</f>
        <v>191.625</v>
      </c>
      <c r="G8" s="9">
        <f>IF(E8=0,0,SUMPRODUCT(F8:F8,J8:J8)/(I8*2.52))</f>
        <v>1.8901785714285715</v>
      </c>
      <c r="H8" s="10">
        <f t="shared" si="0"/>
        <v>529.25</v>
      </c>
      <c r="I8" s="10">
        <v>35</v>
      </c>
      <c r="J8" s="6">
        <v>0.87</v>
      </c>
      <c r="K8" s="8">
        <f t="shared" si="1"/>
        <v>101.37931034482759</v>
      </c>
      <c r="L8" s="11">
        <f t="shared" si="2"/>
        <v>280</v>
      </c>
    </row>
    <row r="9" spans="1:12">
      <c r="A9" s="3" t="s">
        <v>19</v>
      </c>
      <c r="B9" s="4" t="s">
        <v>20</v>
      </c>
      <c r="C9" s="5">
        <v>46213</v>
      </c>
      <c r="D9" s="6">
        <v>752</v>
      </c>
      <c r="E9" s="7">
        <v>8</v>
      </c>
      <c r="F9" s="8">
        <f>IF(E9=0,0,D9/E9)</f>
        <v>94</v>
      </c>
      <c r="G9" s="9">
        <f>IF(E9=0,0,SUMPRODUCT(F9:F9,J9:J9)/(I9*2.52))</f>
        <v>2.1233211233211233</v>
      </c>
      <c r="H9" s="10">
        <f t="shared" si="0"/>
        <v>662.47619047619048</v>
      </c>
      <c r="I9" s="10">
        <v>39</v>
      </c>
      <c r="J9" s="6">
        <v>2.2200000000000002</v>
      </c>
      <c r="K9" s="8">
        <f t="shared" si="1"/>
        <v>44.270270270270267</v>
      </c>
      <c r="L9" s="11">
        <f t="shared" si="2"/>
        <v>312</v>
      </c>
    </row>
    <row r="10" spans="1:12">
      <c r="A10" s="33" t="s">
        <v>21</v>
      </c>
      <c r="B10" s="4" t="s">
        <v>22</v>
      </c>
      <c r="C10" s="5">
        <v>46157</v>
      </c>
      <c r="D10" s="6">
        <v>3</v>
      </c>
      <c r="E10" s="34">
        <v>8</v>
      </c>
      <c r="F10" s="8">
        <f>IF(E10=0,0,D10/E10)</f>
        <v>0.375</v>
      </c>
      <c r="G10" s="35">
        <f>IF(E10=0,0,SUMPRODUCT(F10:F12,J10:J12)/(I10*2.52))</f>
        <v>2.1437821750321753</v>
      </c>
      <c r="H10" s="36">
        <f t="shared" si="0"/>
        <v>634.55952380952385</v>
      </c>
      <c r="I10" s="36">
        <v>37</v>
      </c>
      <c r="J10" s="6">
        <v>2.33</v>
      </c>
      <c r="K10" s="8">
        <f t="shared" si="1"/>
        <v>40.017167381974247</v>
      </c>
      <c r="L10" s="11">
        <f t="shared" si="2"/>
        <v>296</v>
      </c>
    </row>
    <row r="11" spans="1:12">
      <c r="A11" s="33"/>
      <c r="B11" s="4" t="s">
        <v>20</v>
      </c>
      <c r="C11" s="5">
        <v>46207</v>
      </c>
      <c r="D11" s="6">
        <v>540</v>
      </c>
      <c r="E11" s="34"/>
      <c r="F11" s="8">
        <f>IF(E10=0,0,D11/E10)</f>
        <v>67.5</v>
      </c>
      <c r="G11" s="35"/>
      <c r="H11" s="36"/>
      <c r="I11" s="36"/>
      <c r="J11" s="6">
        <v>2.2200000000000002</v>
      </c>
      <c r="K11" s="8">
        <f>2.52/J11*I10</f>
        <v>42</v>
      </c>
      <c r="L11" s="11"/>
    </row>
    <row r="12" spans="1:12">
      <c r="A12" s="33"/>
      <c r="B12" s="4" t="s">
        <v>20</v>
      </c>
      <c r="C12" s="5">
        <v>46207</v>
      </c>
      <c r="D12" s="6">
        <v>171</v>
      </c>
      <c r="E12" s="34"/>
      <c r="F12" s="8">
        <f>IF(E10=0,0,D12/E10)</f>
        <v>21.375</v>
      </c>
      <c r="G12" s="35"/>
      <c r="H12" s="36"/>
      <c r="I12" s="36"/>
      <c r="J12" s="6">
        <v>2.2999999999999998</v>
      </c>
      <c r="K12" s="8">
        <f>2.52/J12*I10</f>
        <v>40.539130434782614</v>
      </c>
      <c r="L12" s="11"/>
    </row>
    <row r="13" spans="1:12">
      <c r="A13" s="3" t="s">
        <v>23</v>
      </c>
      <c r="B13" s="4" t="s">
        <v>24</v>
      </c>
      <c r="C13" s="5">
        <v>46237</v>
      </c>
      <c r="D13" s="6">
        <v>703</v>
      </c>
      <c r="E13" s="7">
        <v>8</v>
      </c>
      <c r="F13" s="8">
        <f>IF(E13=0,0,D13/E13)</f>
        <v>87.875</v>
      </c>
      <c r="G13" s="9">
        <f>IF(E13=0,0,SUMPRODUCT(F13:F13,J13:J13)/(I13*2.52))</f>
        <v>1.5875496031746033</v>
      </c>
      <c r="H13" s="10">
        <f>G13*I13*E13</f>
        <v>482.6150793650794</v>
      </c>
      <c r="I13" s="10">
        <v>38</v>
      </c>
      <c r="J13" s="6">
        <v>1.73</v>
      </c>
      <c r="K13" s="8">
        <f>2.52/J13*I13</f>
        <v>55.352601156069362</v>
      </c>
      <c r="L13" s="11">
        <f>E13*I13</f>
        <v>304</v>
      </c>
    </row>
    <row r="14" spans="1:12">
      <c r="A14" s="33" t="s">
        <v>25</v>
      </c>
      <c r="B14" s="4" t="s">
        <v>26</v>
      </c>
      <c r="C14" s="5">
        <v>46232</v>
      </c>
      <c r="D14" s="6">
        <v>3</v>
      </c>
      <c r="E14" s="34">
        <v>8</v>
      </c>
      <c r="F14" s="8">
        <f>IF(E14=0,0,D14/E14)</f>
        <v>0.375</v>
      </c>
      <c r="G14" s="35">
        <f>IF(E14=0,0,SUMPRODUCT(F14:F15,J14:J15)/(I14*2.52))</f>
        <v>0.525338955026455</v>
      </c>
      <c r="H14" s="36">
        <f>G14*I14*E14</f>
        <v>151.29761904761904</v>
      </c>
      <c r="I14" s="36">
        <v>36</v>
      </c>
      <c r="J14" s="6">
        <v>0.65</v>
      </c>
      <c r="K14" s="8">
        <f>2.52/J14*I14</f>
        <v>139.56923076923076</v>
      </c>
      <c r="L14" s="11">
        <f>E14*I14</f>
        <v>288</v>
      </c>
    </row>
    <row r="15" spans="1:12">
      <c r="A15" s="33"/>
      <c r="B15" s="4" t="s">
        <v>27</v>
      </c>
      <c r="C15" s="5">
        <v>46239</v>
      </c>
      <c r="D15" s="6">
        <v>218</v>
      </c>
      <c r="E15" s="34"/>
      <c r="F15" s="8">
        <f>IF(E14=0,0,D15/E14)</f>
        <v>27.25</v>
      </c>
      <c r="G15" s="35"/>
      <c r="H15" s="36"/>
      <c r="I15" s="36"/>
      <c r="J15" s="6">
        <v>1.74</v>
      </c>
      <c r="K15" s="8">
        <f>2.52/J15*I14</f>
        <v>52.137931034482762</v>
      </c>
      <c r="L15" s="11"/>
    </row>
    <row r="16" spans="1:12">
      <c r="A16" s="3" t="s">
        <v>28</v>
      </c>
      <c r="B16" s="4" t="s">
        <v>27</v>
      </c>
      <c r="C16" s="5">
        <v>46240</v>
      </c>
      <c r="D16" s="6">
        <v>191</v>
      </c>
      <c r="E16" s="7">
        <v>8</v>
      </c>
      <c r="F16" s="8">
        <f>IF(E16=0,0,D16/E16)</f>
        <v>23.875</v>
      </c>
      <c r="G16" s="9">
        <f>IF(E16=0,0,SUMPRODUCT(F16:F16,J16:J16)/(I16*2.52))</f>
        <v>0.44554375804375801</v>
      </c>
      <c r="H16" s="10">
        <f>G16*I16*E16</f>
        <v>131.88095238095238</v>
      </c>
      <c r="I16" s="10">
        <v>37</v>
      </c>
      <c r="J16" s="6">
        <v>1.74</v>
      </c>
      <c r="K16" s="8">
        <f>2.52/J16*I16</f>
        <v>53.586206896551722</v>
      </c>
      <c r="L16" s="11">
        <f>E16*I16</f>
        <v>296</v>
      </c>
    </row>
    <row r="17" spans="1:12">
      <c r="A17" s="3" t="s">
        <v>29</v>
      </c>
      <c r="B17" s="4" t="s">
        <v>30</v>
      </c>
      <c r="C17" s="5">
        <v>46157</v>
      </c>
      <c r="D17" s="6">
        <v>1230</v>
      </c>
      <c r="E17" s="7">
        <v>8</v>
      </c>
      <c r="F17" s="8">
        <f>IF(E17=0,0,D17/E17)</f>
        <v>153.75</v>
      </c>
      <c r="G17" s="9">
        <f>IF(E17=0,0,SUMPRODUCT(F17:F17,J17:J17)/(I17*2.52))</f>
        <v>1.8772893772893773</v>
      </c>
      <c r="H17" s="10">
        <f>G17*I17*E17</f>
        <v>585.71428571428567</v>
      </c>
      <c r="I17" s="10">
        <v>39</v>
      </c>
      <c r="J17" s="6">
        <v>1.2</v>
      </c>
      <c r="K17" s="8">
        <f>2.52/J17*I17</f>
        <v>81.900000000000006</v>
      </c>
      <c r="L17" s="11">
        <f>E17*I17</f>
        <v>312</v>
      </c>
    </row>
    <row r="18" spans="1:12">
      <c r="A18" s="33" t="s">
        <v>31</v>
      </c>
      <c r="B18" s="4" t="s">
        <v>22</v>
      </c>
      <c r="C18" s="5">
        <v>46154</v>
      </c>
      <c r="D18" s="6">
        <v>490</v>
      </c>
      <c r="E18" s="34">
        <v>8</v>
      </c>
      <c r="F18" s="8">
        <f>IF(E18=0,0,D18/E18)</f>
        <v>61.25</v>
      </c>
      <c r="G18" s="35">
        <f>IF(E18=0,0,SUMPRODUCT(F18:F19,J18:J19)/(I18*2.52))</f>
        <v>2.0848866959064325</v>
      </c>
      <c r="H18" s="36">
        <f>G18*I18*E18</f>
        <v>633.80555555555543</v>
      </c>
      <c r="I18" s="36">
        <v>38</v>
      </c>
      <c r="J18" s="6">
        <v>2.33</v>
      </c>
      <c r="K18" s="8">
        <f>2.52/J18*I18</f>
        <v>41.098712446351925</v>
      </c>
      <c r="L18" s="11">
        <f>E18*I18</f>
        <v>304</v>
      </c>
    </row>
    <row r="19" spans="1:12">
      <c r="A19" s="33"/>
      <c r="B19" s="4" t="s">
        <v>22</v>
      </c>
      <c r="C19" s="5">
        <v>46154</v>
      </c>
      <c r="D19" s="6">
        <v>189</v>
      </c>
      <c r="E19" s="34"/>
      <c r="F19" s="8">
        <f>IF(E18=0,0,D19/E18)</f>
        <v>23.625</v>
      </c>
      <c r="G19" s="35"/>
      <c r="H19" s="36"/>
      <c r="I19" s="36"/>
      <c r="J19" s="6">
        <v>2.41</v>
      </c>
      <c r="K19" s="8">
        <f>2.52/J19*I18</f>
        <v>39.73443983402489</v>
      </c>
      <c r="L19" s="11"/>
    </row>
    <row r="20" spans="1:12">
      <c r="A20" s="33" t="s">
        <v>32</v>
      </c>
      <c r="B20" s="4" t="s">
        <v>33</v>
      </c>
      <c r="C20" s="5">
        <v>46230</v>
      </c>
      <c r="D20" s="6">
        <v>28</v>
      </c>
      <c r="E20" s="34">
        <v>8</v>
      </c>
      <c r="F20" s="8">
        <f>IF(E20=0,0,D20/E20)</f>
        <v>3.5</v>
      </c>
      <c r="G20" s="35">
        <f>IF(E20=0,0,SUMPRODUCT(F20:F21,J20:J21)/(I20*2.52))</f>
        <v>0.94047619047619047</v>
      </c>
      <c r="H20" s="36">
        <f>G20*I20*E20</f>
        <v>285.90476190476193</v>
      </c>
      <c r="I20" s="36">
        <v>38</v>
      </c>
      <c r="J20" s="6">
        <v>1.33</v>
      </c>
      <c r="K20" s="8">
        <f>2.52/J20*I20</f>
        <v>72</v>
      </c>
      <c r="L20" s="11">
        <f>E20*I20</f>
        <v>304</v>
      </c>
    </row>
    <row r="21" spans="1:12">
      <c r="A21" s="33"/>
      <c r="B21" s="4" t="s">
        <v>34</v>
      </c>
      <c r="C21" s="5">
        <v>46235</v>
      </c>
      <c r="D21" s="6">
        <v>589</v>
      </c>
      <c r="E21" s="34"/>
      <c r="F21" s="8">
        <f>IF(E20=0,0,D21/E20)</f>
        <v>73.625</v>
      </c>
      <c r="G21" s="35"/>
      <c r="H21" s="36"/>
      <c r="I21" s="36"/>
      <c r="J21" s="6">
        <v>1.1599999999999999</v>
      </c>
      <c r="K21" s="8">
        <f>2.52/J21*I20</f>
        <v>82.551724137931046</v>
      </c>
      <c r="L21" s="11"/>
    </row>
    <row r="22" spans="1:12">
      <c r="A22" s="3" t="s">
        <v>35</v>
      </c>
      <c r="B22" s="4" t="s">
        <v>36</v>
      </c>
      <c r="C22" s="5">
        <v>46220</v>
      </c>
      <c r="D22" s="6">
        <v>771</v>
      </c>
      <c r="E22" s="7">
        <v>8</v>
      </c>
      <c r="F22" s="8">
        <f>IF(E22=0,0,D22/E22)</f>
        <v>96.375</v>
      </c>
      <c r="G22" s="9">
        <f>IF(E22=0,0,SUMPRODUCT(F22:F22,J22:J22)/(I22*2.52))</f>
        <v>1.5106398809523811</v>
      </c>
      <c r="H22" s="10">
        <f>G22*I22*E22</f>
        <v>483.40476190476193</v>
      </c>
      <c r="I22" s="10">
        <v>40</v>
      </c>
      <c r="J22" s="6">
        <v>1.58</v>
      </c>
      <c r="K22" s="8">
        <f>2.52/J22*I22</f>
        <v>63.797468354430372</v>
      </c>
      <c r="L22" s="11">
        <f>E22*I22</f>
        <v>320</v>
      </c>
    </row>
    <row r="23" spans="1:12">
      <c r="A23" s="33" t="s">
        <v>37</v>
      </c>
      <c r="B23" s="4" t="s">
        <v>38</v>
      </c>
      <c r="C23" s="5">
        <v>46192</v>
      </c>
      <c r="D23" s="6">
        <v>21</v>
      </c>
      <c r="E23" s="34">
        <v>8</v>
      </c>
      <c r="F23" s="8">
        <f>IF(E23=0,0,D23/E23)</f>
        <v>2.625</v>
      </c>
      <c r="G23" s="35">
        <f>IF(E23=0,0,SUMPRODUCT(F23:F24,J23:J24)/(I23*2.52))</f>
        <v>1.537907268170426</v>
      </c>
      <c r="H23" s="36">
        <f>G23*I23*E23</f>
        <v>467.52380952380952</v>
      </c>
      <c r="I23" s="36">
        <v>38</v>
      </c>
      <c r="J23" s="6">
        <v>1.28</v>
      </c>
      <c r="K23" s="8">
        <f>2.52/J23*I23</f>
        <v>74.8125</v>
      </c>
      <c r="L23" s="11">
        <f>E23*I23</f>
        <v>304</v>
      </c>
    </row>
    <row r="24" spans="1:12">
      <c r="A24" s="33"/>
      <c r="B24" s="4" t="s">
        <v>39</v>
      </c>
      <c r="C24" s="5">
        <v>46203</v>
      </c>
      <c r="D24" s="6">
        <v>702</v>
      </c>
      <c r="E24" s="34"/>
      <c r="F24" s="8">
        <f>IF(E23=0,0,D24/E23)</f>
        <v>87.75</v>
      </c>
      <c r="G24" s="35"/>
      <c r="H24" s="36"/>
      <c r="I24" s="36"/>
      <c r="J24" s="6">
        <v>1.64</v>
      </c>
      <c r="K24" s="8">
        <f>2.52/J24*I23</f>
        <v>58.390243902439025</v>
      </c>
      <c r="L24" s="11"/>
    </row>
    <row r="25" spans="1:12">
      <c r="A25" s="3" t="s">
        <v>40</v>
      </c>
      <c r="B25" s="4" t="s">
        <v>14</v>
      </c>
      <c r="C25" s="5">
        <v>46209</v>
      </c>
      <c r="D25" s="6">
        <v>1662</v>
      </c>
      <c r="E25" s="7">
        <v>8</v>
      </c>
      <c r="F25" s="8">
        <f>IF(E25=0,0,D25/E25)</f>
        <v>207.75</v>
      </c>
      <c r="G25" s="9">
        <f t="shared" ref="G25:G30" si="3">IF(E25=0,0,SUMPRODUCT(F25:F25,J25:J25)/(I25*2.52))</f>
        <v>1.887453007518797</v>
      </c>
      <c r="H25" s="10">
        <f t="shared" ref="H25:H30" si="4">G25*I25*E25</f>
        <v>573.78571428571422</v>
      </c>
      <c r="I25" s="10">
        <v>38</v>
      </c>
      <c r="J25" s="6">
        <v>0.87</v>
      </c>
      <c r="K25" s="8">
        <f t="shared" ref="K25:K30" si="5">2.52/J25*I25</f>
        <v>110.06896551724138</v>
      </c>
      <c r="L25" s="11">
        <f t="shared" ref="L25:L30" si="6">E25*I25</f>
        <v>304</v>
      </c>
    </row>
    <row r="26" spans="1:12">
      <c r="A26" s="3" t="s">
        <v>41</v>
      </c>
      <c r="B26" s="4" t="s">
        <v>14</v>
      </c>
      <c r="C26" s="5">
        <v>46209</v>
      </c>
      <c r="D26" s="6">
        <v>1600</v>
      </c>
      <c r="E26" s="7">
        <v>8</v>
      </c>
      <c r="F26" s="8">
        <f>IF(E26=0,0,D26/E26)</f>
        <v>200</v>
      </c>
      <c r="G26" s="9">
        <f t="shared" si="3"/>
        <v>1.7704517704517704</v>
      </c>
      <c r="H26" s="10">
        <f t="shared" si="4"/>
        <v>552.38095238095241</v>
      </c>
      <c r="I26" s="10">
        <v>39</v>
      </c>
      <c r="J26" s="6">
        <v>0.87</v>
      </c>
      <c r="K26" s="8">
        <f t="shared" si="5"/>
        <v>112.96551724137932</v>
      </c>
      <c r="L26" s="11">
        <f t="shared" si="6"/>
        <v>312</v>
      </c>
    </row>
    <row r="27" spans="1:12">
      <c r="A27" s="3" t="s">
        <v>42</v>
      </c>
      <c r="B27" s="4" t="s">
        <v>20</v>
      </c>
      <c r="C27" s="5">
        <v>46155</v>
      </c>
      <c r="D27" s="6">
        <v>705</v>
      </c>
      <c r="E27" s="7">
        <v>8</v>
      </c>
      <c r="F27" s="8">
        <f>IF(E27=0,0,D27/E27)</f>
        <v>88.125</v>
      </c>
      <c r="G27" s="9">
        <f t="shared" si="3"/>
        <v>2.0429981203007519</v>
      </c>
      <c r="H27" s="10">
        <f t="shared" si="4"/>
        <v>621.07142857142856</v>
      </c>
      <c r="I27" s="10">
        <v>38</v>
      </c>
      <c r="J27" s="6">
        <v>2.2200000000000002</v>
      </c>
      <c r="K27" s="8">
        <f t="shared" si="5"/>
        <v>43.13513513513513</v>
      </c>
      <c r="L27" s="11">
        <f t="shared" si="6"/>
        <v>304</v>
      </c>
    </row>
    <row r="28" spans="1:12">
      <c r="A28" s="3" t="s">
        <v>43</v>
      </c>
      <c r="B28" s="4" t="s">
        <v>14</v>
      </c>
      <c r="C28" s="5">
        <v>46219</v>
      </c>
      <c r="D28" s="6">
        <v>1418</v>
      </c>
      <c r="E28" s="7">
        <v>8</v>
      </c>
      <c r="F28" s="8">
        <f>IF(E28=0,0,D28/E28)</f>
        <v>177.25</v>
      </c>
      <c r="G28" s="9">
        <f t="shared" si="3"/>
        <v>1.6998181216931219</v>
      </c>
      <c r="H28" s="10">
        <f t="shared" si="4"/>
        <v>489.54761904761909</v>
      </c>
      <c r="I28" s="10">
        <v>36</v>
      </c>
      <c r="J28" s="6">
        <v>0.87</v>
      </c>
      <c r="K28" s="8">
        <f t="shared" si="5"/>
        <v>104.27586206896552</v>
      </c>
      <c r="L28" s="11">
        <f t="shared" si="6"/>
        <v>288</v>
      </c>
    </row>
    <row r="29" spans="1:12">
      <c r="A29" s="3" t="s">
        <v>44</v>
      </c>
      <c r="B29" s="4" t="s">
        <v>14</v>
      </c>
      <c r="C29" s="5">
        <v>46192</v>
      </c>
      <c r="D29" s="6">
        <v>1713</v>
      </c>
      <c r="E29" s="7">
        <v>8</v>
      </c>
      <c r="F29" s="8">
        <f>IF(E29=0,0,D29/E29)</f>
        <v>214.125</v>
      </c>
      <c r="G29" s="9">
        <f t="shared" si="3"/>
        <v>1.8954899267399266</v>
      </c>
      <c r="H29" s="10">
        <f t="shared" si="4"/>
        <v>591.39285714285711</v>
      </c>
      <c r="I29" s="10">
        <v>39</v>
      </c>
      <c r="J29" s="6">
        <v>0.87</v>
      </c>
      <c r="K29" s="8">
        <f t="shared" si="5"/>
        <v>112.96551724137932</v>
      </c>
      <c r="L29" s="11">
        <f t="shared" si="6"/>
        <v>312</v>
      </c>
    </row>
    <row r="30" spans="1:12">
      <c r="A30" s="3" t="s">
        <v>45</v>
      </c>
      <c r="B30" s="4" t="s">
        <v>46</v>
      </c>
      <c r="C30" s="5">
        <v>46237</v>
      </c>
      <c r="D30" s="6">
        <v>1232</v>
      </c>
      <c r="E30" s="7">
        <v>8</v>
      </c>
      <c r="F30" s="8">
        <f>IF(E30=0,0,D30/E30)</f>
        <v>154</v>
      </c>
      <c r="G30" s="9">
        <f t="shared" si="3"/>
        <v>1.3048048048048051</v>
      </c>
      <c r="H30" s="10">
        <f t="shared" si="4"/>
        <v>386.22222222222229</v>
      </c>
      <c r="I30" s="10">
        <v>37</v>
      </c>
      <c r="J30" s="6">
        <v>0.79</v>
      </c>
      <c r="K30" s="8">
        <f t="shared" si="5"/>
        <v>118.02531645569618</v>
      </c>
      <c r="L30" s="11">
        <f t="shared" si="6"/>
        <v>296</v>
      </c>
    </row>
    <row r="31" spans="1:12">
      <c r="A31" s="37" t="s">
        <v>47</v>
      </c>
      <c r="B31" s="38"/>
      <c r="C31" s="39"/>
      <c r="D31" s="12">
        <f>SUM(D5:D30)</f>
        <v>20208</v>
      </c>
      <c r="E31" s="13">
        <f>SUM(E5:E30)</f>
        <v>160</v>
      </c>
      <c r="F31" s="14"/>
      <c r="G31" s="15">
        <f>SUM(H5:H30)/L31</f>
        <v>1.5866459283181353</v>
      </c>
      <c r="H31" s="12"/>
      <c r="I31" s="12">
        <f>SUM(I5:I30)</f>
        <v>752</v>
      </c>
      <c r="J31" s="12"/>
      <c r="K31" s="14"/>
      <c r="L31" s="16">
        <f>SUM(L5:L30)</f>
        <v>6016</v>
      </c>
    </row>
    <row r="32" spans="1:12">
      <c r="A32" s="17"/>
      <c r="B32" s="6"/>
      <c r="C32" s="5"/>
      <c r="D32" s="6"/>
      <c r="E32" s="18"/>
      <c r="F32" s="8"/>
      <c r="G32" s="19"/>
      <c r="H32" s="6"/>
      <c r="I32" s="6"/>
      <c r="J32" s="6"/>
      <c r="K32" s="8"/>
      <c r="L32" s="11"/>
    </row>
    <row r="33" spans="1:12" ht="13.5" thickBot="1">
      <c r="A33" s="40" t="s">
        <v>48</v>
      </c>
      <c r="B33" s="41"/>
      <c r="C33" s="42"/>
      <c r="D33" s="20">
        <f>SUMIF(A5:A32, "&lt;&gt;Summary", D5:D32)</f>
        <v>20208</v>
      </c>
      <c r="E33" s="21">
        <f>SUMIF(A5:A32, "&lt;&gt;Summary", E5:E32)</f>
        <v>160</v>
      </c>
      <c r="F33" s="22"/>
      <c r="G33" s="23">
        <f>SUMIF(A5:A32, "&lt;&gt;Summary", H5:H32)/L33</f>
        <v>1.5866459283181353</v>
      </c>
      <c r="H33" s="20"/>
      <c r="I33" s="20">
        <f>SUMIF(A5:A32, "&lt;&gt;Summary", I5:I32)</f>
        <v>752</v>
      </c>
      <c r="J33" s="20"/>
      <c r="K33" s="22"/>
      <c r="L33" s="24">
        <f>SUMIF(A5:A32, "&lt;&gt;Summary", L5:L32)</f>
        <v>6016</v>
      </c>
    </row>
    <row r="34" spans="1:12" ht="13.5" thickTop="1"/>
    <row r="35" spans="1:12">
      <c r="C35" s="25" t="s">
        <v>49</v>
      </c>
      <c r="D35" s="26">
        <f>SUM(H5:H9)/SUM(L5:L9)</f>
        <v>1.6808116589026916</v>
      </c>
    </row>
    <row r="36" spans="1:12">
      <c r="C36" s="25" t="s">
        <v>50</v>
      </c>
      <c r="D36" s="26">
        <f>SUM(H10:H17)/SUM(L10:L17)</f>
        <v>1.3275852007469655</v>
      </c>
    </row>
    <row r="37" spans="1:12">
      <c r="C37" s="25" t="s">
        <v>51</v>
      </c>
      <c r="D37" s="26">
        <f>SUM(H18:H25)/SUM(L18:L25)</f>
        <v>1.5914222676917988</v>
      </c>
    </row>
    <row r="38" spans="1:12">
      <c r="C38" s="25" t="s">
        <v>52</v>
      </c>
      <c r="D38" s="26">
        <f>SUM(H26:H30)/SUM(L26:L30)</f>
        <v>1.7464385445536237</v>
      </c>
    </row>
  </sheetData>
  <mergeCells count="39">
    <mergeCell ref="A33:C33"/>
    <mergeCell ref="A23:A24"/>
    <mergeCell ref="E23:E24"/>
    <mergeCell ref="G23:G24"/>
    <mergeCell ref="H23:H24"/>
    <mergeCell ref="I23:I24"/>
    <mergeCell ref="A31:C31"/>
    <mergeCell ref="A18:A19"/>
    <mergeCell ref="E18:E19"/>
    <mergeCell ref="G18:G19"/>
    <mergeCell ref="H18:H19"/>
    <mergeCell ref="I18:I19"/>
    <mergeCell ref="A20:A21"/>
    <mergeCell ref="E20:E21"/>
    <mergeCell ref="G20:G21"/>
    <mergeCell ref="H20:H21"/>
    <mergeCell ref="I20:I21"/>
    <mergeCell ref="A10:A12"/>
    <mergeCell ref="E10:E12"/>
    <mergeCell ref="G10:G12"/>
    <mergeCell ref="H10:H12"/>
    <mergeCell ref="I10:I12"/>
    <mergeCell ref="A14:A15"/>
    <mergeCell ref="E14:E15"/>
    <mergeCell ref="G14:G15"/>
    <mergeCell ref="H14:H15"/>
    <mergeCell ref="I14:I15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2026-08-10T02:01:22Z</cp:lastPrinted>
  <dcterms:created xsi:type="dcterms:W3CDTF">2026-08-10T01:21:00Z</dcterms:created>
  <dcterms:modified xsi:type="dcterms:W3CDTF">2026-08-10T02:27:47Z</dcterms:modified>
</cp:coreProperties>
</file>