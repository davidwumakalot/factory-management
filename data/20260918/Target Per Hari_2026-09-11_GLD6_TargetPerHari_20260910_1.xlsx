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075" windowHeight="11835"/>
  </bookViews>
  <sheets>
    <sheet name="TargetPerHari" sheetId="1" r:id="rId1"/>
    <sheet name="Sheet2" sheetId="2" r:id="rId2"/>
    <sheet name="Sheet3" sheetId="3" r:id="rId3"/>
    <sheet name="Sheet1" sheetId="4" r:id="rId4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D57" i="1"/>
  <c r="D56"/>
  <c r="D55"/>
  <c r="D54"/>
  <c r="I52"/>
  <c r="E52"/>
  <c r="D52"/>
  <c r="I51"/>
  <c r="E51"/>
  <c r="D51"/>
  <c r="L50"/>
  <c r="G50"/>
  <c r="H50" s="1"/>
  <c r="K50"/>
  <c r="F50"/>
  <c r="L48"/>
  <c r="K49"/>
  <c r="F49"/>
  <c r="K48"/>
  <c r="F48"/>
  <c r="G48" s="1"/>
  <c r="H48" s="1"/>
  <c r="L46"/>
  <c r="K47"/>
  <c r="F47"/>
  <c r="K46"/>
  <c r="F46"/>
  <c r="G46" s="1"/>
  <c r="H46" s="1"/>
  <c r="L45"/>
  <c r="G45"/>
  <c r="H45" s="1"/>
  <c r="K45"/>
  <c r="F45"/>
  <c r="L44"/>
  <c r="G44"/>
  <c r="H44" s="1"/>
  <c r="K44"/>
  <c r="F44"/>
  <c r="L40"/>
  <c r="K43"/>
  <c r="F43"/>
  <c r="K42"/>
  <c r="F42"/>
  <c r="K41"/>
  <c r="F41"/>
  <c r="K40"/>
  <c r="F40"/>
  <c r="G40" s="1"/>
  <c r="H40" s="1"/>
  <c r="L39"/>
  <c r="G39"/>
  <c r="H39" s="1"/>
  <c r="K39"/>
  <c r="F39"/>
  <c r="L37"/>
  <c r="K38"/>
  <c r="F38"/>
  <c r="K37"/>
  <c r="F37"/>
  <c r="G37" s="1"/>
  <c r="H37" s="1"/>
  <c r="L35"/>
  <c r="G35"/>
  <c r="H35" s="1"/>
  <c r="K36"/>
  <c r="F36"/>
  <c r="K35"/>
  <c r="F35"/>
  <c r="L34"/>
  <c r="G34"/>
  <c r="H34" s="1"/>
  <c r="K34"/>
  <c r="F34"/>
  <c r="L32"/>
  <c r="K33"/>
  <c r="F33"/>
  <c r="K32"/>
  <c r="F32"/>
  <c r="G32" s="1"/>
  <c r="H32" s="1"/>
  <c r="L25"/>
  <c r="K31"/>
  <c r="F31"/>
  <c r="K30"/>
  <c r="F30"/>
  <c r="K29"/>
  <c r="F29"/>
  <c r="K28"/>
  <c r="F28"/>
  <c r="K27"/>
  <c r="F27"/>
  <c r="K26"/>
  <c r="F26"/>
  <c r="G25" s="1"/>
  <c r="H25" s="1"/>
  <c r="K25"/>
  <c r="F25"/>
  <c r="L23"/>
  <c r="K24"/>
  <c r="F24"/>
  <c r="K23"/>
  <c r="F23"/>
  <c r="G23" s="1"/>
  <c r="H23" s="1"/>
  <c r="L21"/>
  <c r="K22"/>
  <c r="F22"/>
  <c r="K21"/>
  <c r="F21"/>
  <c r="G21" s="1"/>
  <c r="H21" s="1"/>
  <c r="L19"/>
  <c r="K20"/>
  <c r="F20"/>
  <c r="K19"/>
  <c r="F19"/>
  <c r="G19" s="1"/>
  <c r="H19" s="1"/>
  <c r="L13"/>
  <c r="K18"/>
  <c r="F18"/>
  <c r="K17"/>
  <c r="F17"/>
  <c r="K16"/>
  <c r="F16"/>
  <c r="K15"/>
  <c r="F15"/>
  <c r="K14"/>
  <c r="F14"/>
  <c r="K13"/>
  <c r="F13"/>
  <c r="G13" s="1"/>
  <c r="H13" s="1"/>
  <c r="L12"/>
  <c r="H12"/>
  <c r="G12"/>
  <c r="K12"/>
  <c r="F12"/>
  <c r="L10"/>
  <c r="K11"/>
  <c r="F11"/>
  <c r="K10"/>
  <c r="F10"/>
  <c r="G10" s="1"/>
  <c r="H10" s="1"/>
  <c r="L7"/>
  <c r="H7"/>
  <c r="G7"/>
  <c r="K9"/>
  <c r="F9"/>
  <c r="K8"/>
  <c r="F8"/>
  <c r="K7"/>
  <c r="F7"/>
  <c r="L5"/>
  <c r="L51" s="1"/>
  <c r="G51" s="1"/>
  <c r="K6"/>
  <c r="F6"/>
  <c r="K5"/>
  <c r="F5"/>
  <c r="G5" s="1"/>
  <c r="H5" s="1"/>
  <c r="L52" l="1"/>
  <c r="G52" s="1"/>
</calcChain>
</file>

<file path=xl/sharedStrings.xml><?xml version="1.0" encoding="utf-8"?>
<sst xmlns="http://schemas.openxmlformats.org/spreadsheetml/2006/main" count="85" uniqueCount="64">
  <si>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</si>
  <si>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</si>
  <si>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</si>
  <si>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</si>
  <si>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</si>
  <si>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</si>
  <si>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</si>
  <si>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</si>
  <si>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</si>
  <si>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</si>
  <si>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</si>
  <si>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</si>
  <si>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</si>
  <si>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6-01</t>
  </si>
  <si>
    <t>PST840</t>
  </si>
  <si>
    <t>6-02</t>
  </si>
  <si>
    <t>G917K0_C426</t>
  </si>
  <si>
    <t>X048GZ_C127</t>
  </si>
  <si>
    <t>6-03</t>
  </si>
  <si>
    <t>ST841_FA26</t>
  </si>
  <si>
    <t>1196262_HO26_PF</t>
  </si>
  <si>
    <t>6-04</t>
  </si>
  <si>
    <t>MRLPMM_3PC_C127</t>
  </si>
  <si>
    <t>6-05</t>
  </si>
  <si>
    <t>LPST840</t>
  </si>
  <si>
    <t>5GK4L2_C127/1-Jumper</t>
  </si>
  <si>
    <t>5GK4L2_C127/2-Jumper</t>
  </si>
  <si>
    <t>6-06</t>
  </si>
  <si>
    <t>777362_VMI</t>
  </si>
  <si>
    <t>777362_HO26_GLD</t>
  </si>
  <si>
    <t>6-07</t>
  </si>
  <si>
    <t>352E6Y_SL_C127</t>
  </si>
  <si>
    <t>6-08</t>
  </si>
  <si>
    <t>6-09</t>
  </si>
  <si>
    <t>W9ZMM8_7PK_C426/1-Panties</t>
  </si>
  <si>
    <t>W9ZMM8_7PK_C426/2-Panties</t>
  </si>
  <si>
    <t>W9ZMM8_7PK_C426/3-Panties</t>
  </si>
  <si>
    <t>W9ZMM8_7PK_C426/4-Panties</t>
  </si>
  <si>
    <t>W9ZMM8_7PK_C426/5-Panties</t>
  </si>
  <si>
    <t>W9ZMM8_7PK_C426/6-Panties</t>
  </si>
  <si>
    <t>W9ZMM8_7PK_C426/7-Panties</t>
  </si>
  <si>
    <t>6-10</t>
  </si>
  <si>
    <t>1188289_HO26</t>
  </si>
  <si>
    <t>6-11</t>
  </si>
  <si>
    <t>6-12</t>
  </si>
  <si>
    <t>9KM9L2_C127</t>
  </si>
  <si>
    <t>ZC6HY000</t>
  </si>
  <si>
    <t>6-13</t>
  </si>
  <si>
    <t>6-14</t>
  </si>
  <si>
    <t>00GG4Z_C127IND</t>
  </si>
  <si>
    <t>6-15</t>
  </si>
  <si>
    <t>6-16</t>
  </si>
  <si>
    <t>6-17</t>
  </si>
  <si>
    <t>6-18</t>
  </si>
  <si>
    <t>352E6Y_LL_C127</t>
  </si>
  <si>
    <t>6-19</t>
  </si>
  <si>
    <t>6-20</t>
  </si>
  <si>
    <t>4401EW_C127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</si>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</sst>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6" fontId="1" fillId="0" borderId="5" xfId="0" applyNumberFormat="1" applyFont="1" applyBorder="1"/>
    <xf numFmtId="0" fontId="1" fillId="0" borderId="6" xfId="0" applyFont="1" applyBorder="1"/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0" fontId="2" fillId="0" borderId="0" xfId="0" applyNumberFormat="1" applyFont="1"/>
    <xf numFmtId="0" fontId="2" fillId="0" borderId="5" xfId="0" applyFont="1" applyBorder="1"/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/>
    <xf numFmtId="165" fontId="2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tabSelected="1" workbookViewId="0">
      <pane ySplit="4" topLeftCell="A20" activePane="bottomLeft" state="frozen"/>
      <selection pane="bottomLeft" activeCell="D5" sqref="D5:F50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46275</v>
      </c>
    </row>
    <row r="2" spans="1:12" ht="13.5" thickBot="1"/>
    <row r="3" spans="1:12" ht="13.5" thickTop="1">
      <c r="A3" s="34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0" t="s">
        <v>7</v>
      </c>
      <c r="H3" s="30" t="s">
        <v>8</v>
      </c>
      <c r="I3" s="30" t="s">
        <v>9</v>
      </c>
      <c r="J3" s="30" t="s">
        <v>10</v>
      </c>
      <c r="K3" s="30" t="s">
        <v>11</v>
      </c>
      <c r="L3" s="32" t="s">
        <v>12</v>
      </c>
    </row>
    <row r="4" spans="1:12">
      <c r="A4" s="35"/>
      <c r="B4" s="31"/>
      <c r="C4" s="31"/>
      <c r="D4" s="31"/>
      <c r="E4" s="31"/>
      <c r="F4" s="31"/>
      <c r="G4" s="31"/>
      <c r="H4" s="31"/>
      <c r="I4" s="31"/>
      <c r="J4" s="31"/>
      <c r="K4" s="31"/>
      <c r="L4" s="33"/>
    </row>
    <row r="5" spans="1:12">
      <c r="A5" s="27" t="s">
        <v>13</v>
      </c>
      <c r="B5" s="3" t="s">
        <v>14</v>
      </c>
      <c r="C5" s="4">
        <v>46265</v>
      </c>
      <c r="D5" s="37">
        <v>687</v>
      </c>
      <c r="E5" s="38">
        <v>9</v>
      </c>
      <c r="F5" s="39">
        <f>IF(E5=0,0,D5/E5)</f>
        <v>76.333333333333329</v>
      </c>
      <c r="G5" s="28">
        <f>IF(E5=0,0,SUMPRODUCT(F5:F6,J5:J6)/(I5*2.52))</f>
        <v>1.6229801229801228</v>
      </c>
      <c r="H5" s="29">
        <f>G5*I5*E5</f>
        <v>540.45238095238085</v>
      </c>
      <c r="I5" s="29">
        <v>37</v>
      </c>
      <c r="J5" s="5">
        <v>1.62</v>
      </c>
      <c r="K5" s="6">
        <f>2.52/J5*I5</f>
        <v>57.55555555555555</v>
      </c>
      <c r="L5" s="7">
        <f>E5*I5</f>
        <v>333</v>
      </c>
    </row>
    <row r="6" spans="1:12">
      <c r="A6" s="27"/>
      <c r="B6" s="3" t="s">
        <v>14</v>
      </c>
      <c r="C6" s="4">
        <v>46265</v>
      </c>
      <c r="D6" s="37">
        <v>150</v>
      </c>
      <c r="E6" s="38"/>
      <c r="F6" s="39">
        <f>IF(E5=0,0,D6/E5)</f>
        <v>16.666666666666668</v>
      </c>
      <c r="G6" s="28"/>
      <c r="H6" s="29"/>
      <c r="I6" s="29"/>
      <c r="J6" s="5">
        <v>1.66</v>
      </c>
      <c r="K6" s="6">
        <f>2.52/J6*I5</f>
        <v>56.168674698795179</v>
      </c>
      <c r="L6" s="7"/>
    </row>
    <row r="7" spans="1:12">
      <c r="A7" s="27" t="s">
        <v>15</v>
      </c>
      <c r="B7" s="3" t="s">
        <v>16</v>
      </c>
      <c r="C7" s="4">
        <v>46176</v>
      </c>
      <c r="D7" s="37">
        <v>123</v>
      </c>
      <c r="E7" s="38">
        <v>9</v>
      </c>
      <c r="F7" s="39">
        <f>IF(E7=0,0,D7/E7)</f>
        <v>13.666666666666666</v>
      </c>
      <c r="G7" s="28">
        <f>IF(E7=0,0,SUMPRODUCT(F7:F9,J7:J9)/(I7*2.52))</f>
        <v>1.8134063296100336</v>
      </c>
      <c r="H7" s="29">
        <f>G7*I7*E7</f>
        <v>587.54365079365084</v>
      </c>
      <c r="I7" s="29">
        <v>36</v>
      </c>
      <c r="J7" s="5">
        <v>1.25</v>
      </c>
      <c r="K7" s="6">
        <f>2.52/J7*I7</f>
        <v>72.575999999999993</v>
      </c>
      <c r="L7" s="7">
        <f>E7*I7</f>
        <v>324</v>
      </c>
    </row>
    <row r="8" spans="1:12">
      <c r="A8" s="27"/>
      <c r="B8" s="3" t="s">
        <v>16</v>
      </c>
      <c r="C8" s="4">
        <v>46176</v>
      </c>
      <c r="D8" s="37">
        <v>55</v>
      </c>
      <c r="E8" s="38"/>
      <c r="F8" s="39">
        <f>IF(E7=0,0,D8/E7)</f>
        <v>6.1111111111111107</v>
      </c>
      <c r="G8" s="28"/>
      <c r="H8" s="29"/>
      <c r="I8" s="29"/>
      <c r="J8" s="5">
        <v>1.28</v>
      </c>
      <c r="K8" s="6">
        <f>2.52/J8*I7</f>
        <v>70.875</v>
      </c>
      <c r="L8" s="7"/>
    </row>
    <row r="9" spans="1:12">
      <c r="A9" s="27"/>
      <c r="B9" s="3" t="s">
        <v>17</v>
      </c>
      <c r="C9" s="4">
        <v>46265</v>
      </c>
      <c r="D9" s="37">
        <v>1461</v>
      </c>
      <c r="E9" s="38"/>
      <c r="F9" s="39">
        <f>IF(E7=0,0,D9/E7)</f>
        <v>162.33333333333334</v>
      </c>
      <c r="G9" s="28"/>
      <c r="H9" s="29"/>
      <c r="I9" s="29"/>
      <c r="J9" s="5">
        <v>0.86</v>
      </c>
      <c r="K9" s="6">
        <f>2.52/J9*I7</f>
        <v>105.48837209302326</v>
      </c>
      <c r="L9" s="7"/>
    </row>
    <row r="10" spans="1:12">
      <c r="A10" s="27" t="s">
        <v>18</v>
      </c>
      <c r="B10" s="3" t="s">
        <v>19</v>
      </c>
      <c r="C10" s="4">
        <v>46252</v>
      </c>
      <c r="D10" s="37">
        <v>170</v>
      </c>
      <c r="E10" s="38">
        <v>8</v>
      </c>
      <c r="F10" s="39">
        <f>IF(E10=0,0,D10/E10)</f>
        <v>21.25</v>
      </c>
      <c r="G10" s="28">
        <f>IF(E10=0,0,SUMPRODUCT(F10:F11,J10:J11)/(I10*2.52))</f>
        <v>0.41264329805996475</v>
      </c>
      <c r="H10" s="29">
        <f>G10*I10*E10</f>
        <v>118.84126984126985</v>
      </c>
      <c r="I10" s="29">
        <v>36</v>
      </c>
      <c r="J10" s="5">
        <v>1.74</v>
      </c>
      <c r="K10" s="6">
        <f>2.52/J10*I10</f>
        <v>52.137931034482762</v>
      </c>
      <c r="L10" s="7">
        <f>E10*I10</f>
        <v>288</v>
      </c>
    </row>
    <row r="11" spans="1:12">
      <c r="A11" s="27"/>
      <c r="B11" s="3" t="s">
        <v>20</v>
      </c>
      <c r="C11" s="4">
        <v>46275</v>
      </c>
      <c r="D11" s="37">
        <v>4</v>
      </c>
      <c r="E11" s="38"/>
      <c r="F11" s="39">
        <f>IF(E10=0,0,D11/E10)</f>
        <v>0.5</v>
      </c>
      <c r="G11" s="28"/>
      <c r="H11" s="29"/>
      <c r="I11" s="29"/>
      <c r="J11" s="5">
        <v>0.92</v>
      </c>
      <c r="K11" s="6">
        <f>2.52/J11*I10</f>
        <v>98.608695652173907</v>
      </c>
      <c r="L11" s="7"/>
    </row>
    <row r="12" spans="1:12">
      <c r="A12" s="8" t="s">
        <v>21</v>
      </c>
      <c r="B12" s="3" t="s">
        <v>22</v>
      </c>
      <c r="C12" s="4">
        <v>46273</v>
      </c>
      <c r="D12" s="37">
        <v>721</v>
      </c>
      <c r="E12" s="40">
        <v>8</v>
      </c>
      <c r="F12" s="39">
        <f>IF(E12=0,0,D12/E12)</f>
        <v>90.125</v>
      </c>
      <c r="G12" s="9">
        <f>IF(E12=0,0,SUMPRODUCT(F12:F12,J12:J12)/(I12*2.52))</f>
        <v>0.95997807017543846</v>
      </c>
      <c r="H12" s="10">
        <f>G12*I12*E12</f>
        <v>291.83333333333331</v>
      </c>
      <c r="I12" s="10">
        <v>38</v>
      </c>
      <c r="J12" s="5">
        <v>1.02</v>
      </c>
      <c r="K12" s="6">
        <f>2.52/J12*I12</f>
        <v>93.882352941176478</v>
      </c>
      <c r="L12" s="7">
        <f>E12*I12</f>
        <v>304</v>
      </c>
    </row>
    <row r="13" spans="1:12">
      <c r="A13" s="27" t="s">
        <v>23</v>
      </c>
      <c r="B13" s="3" t="s">
        <v>24</v>
      </c>
      <c r="C13" s="4">
        <v>46254</v>
      </c>
      <c r="D13" s="37">
        <v>134</v>
      </c>
      <c r="E13" s="38">
        <v>8</v>
      </c>
      <c r="F13" s="39">
        <f>IF(E13=0,0,D13/E13)</f>
        <v>16.75</v>
      </c>
      <c r="G13" s="28">
        <f>IF(E13=0,0,SUMPRODUCT(F13:F18,J13:J18)/(I13*2.52))</f>
        <v>0.56742009867009868</v>
      </c>
      <c r="H13" s="29">
        <f>G13*I13*E13</f>
        <v>167.95634920634922</v>
      </c>
      <c r="I13" s="29">
        <v>37</v>
      </c>
      <c r="J13" s="5">
        <v>1.47</v>
      </c>
      <c r="K13" s="6">
        <f>2.52/J13*I13</f>
        <v>63.428571428571431</v>
      </c>
      <c r="L13" s="7">
        <f>E13*I13</f>
        <v>296</v>
      </c>
    </row>
    <row r="14" spans="1:12">
      <c r="A14" s="27"/>
      <c r="B14" s="3" t="s">
        <v>24</v>
      </c>
      <c r="C14" s="4">
        <v>46254</v>
      </c>
      <c r="D14" s="37">
        <v>5</v>
      </c>
      <c r="E14" s="38"/>
      <c r="F14" s="39">
        <f>IF(E13=0,0,D14/E13)</f>
        <v>0.625</v>
      </c>
      <c r="G14" s="28"/>
      <c r="H14" s="29"/>
      <c r="I14" s="29"/>
      <c r="J14" s="5">
        <v>1.51</v>
      </c>
      <c r="K14" s="6">
        <f>2.52/J14*I13</f>
        <v>61.748344370860927</v>
      </c>
      <c r="L14" s="7"/>
    </row>
    <row r="15" spans="1:12">
      <c r="A15" s="27"/>
      <c r="B15" s="5" t="s">
        <v>25</v>
      </c>
      <c r="C15" s="4">
        <v>46275</v>
      </c>
      <c r="D15" s="37">
        <v>0</v>
      </c>
      <c r="E15" s="38"/>
      <c r="F15" s="39">
        <f>IF(E13=0,0,D15/E13)</f>
        <v>0</v>
      </c>
      <c r="G15" s="28"/>
      <c r="H15" s="29"/>
      <c r="I15" s="29"/>
      <c r="J15" s="5">
        <v>1.54</v>
      </c>
      <c r="K15" s="6">
        <f>2.52/J15*I13</f>
        <v>60.54545454545454</v>
      </c>
      <c r="L15" s="7"/>
    </row>
    <row r="16" spans="1:12">
      <c r="A16" s="27"/>
      <c r="B16" s="5" t="s">
        <v>26</v>
      </c>
      <c r="C16" s="4">
        <v>46275</v>
      </c>
      <c r="D16" s="37">
        <v>88</v>
      </c>
      <c r="E16" s="38"/>
      <c r="F16" s="39">
        <f>IF(E13=0,0,D16/E13)</f>
        <v>11</v>
      </c>
      <c r="G16" s="28"/>
      <c r="H16" s="29"/>
      <c r="I16" s="29"/>
      <c r="J16" s="5">
        <v>1.54</v>
      </c>
      <c r="K16" s="6">
        <f>2.52/J16*I13</f>
        <v>60.54545454545454</v>
      </c>
      <c r="L16" s="7"/>
    </row>
    <row r="17" spans="1:12">
      <c r="A17" s="27"/>
      <c r="B17" s="5" t="s">
        <v>25</v>
      </c>
      <c r="C17" s="4">
        <v>46275</v>
      </c>
      <c r="D17" s="37">
        <v>0</v>
      </c>
      <c r="E17" s="38"/>
      <c r="F17" s="39">
        <f>IF(E13=0,0,D17/E13)</f>
        <v>0</v>
      </c>
      <c r="G17" s="28"/>
      <c r="H17" s="29"/>
      <c r="I17" s="29"/>
      <c r="J17" s="5">
        <v>1.6</v>
      </c>
      <c r="K17" s="6">
        <f>2.52/J17*I13</f>
        <v>58.274999999999999</v>
      </c>
      <c r="L17" s="7"/>
    </row>
    <row r="18" spans="1:12">
      <c r="A18" s="27"/>
      <c r="B18" s="5" t="s">
        <v>26</v>
      </c>
      <c r="C18" s="4">
        <v>46275</v>
      </c>
      <c r="D18" s="37">
        <v>52</v>
      </c>
      <c r="E18" s="38"/>
      <c r="F18" s="39">
        <f>IF(E13=0,0,D18/E13)</f>
        <v>6.5</v>
      </c>
      <c r="G18" s="28"/>
      <c r="H18" s="29"/>
      <c r="I18" s="29"/>
      <c r="J18" s="5">
        <v>1.6</v>
      </c>
      <c r="K18" s="6">
        <f>2.52/J18*I13</f>
        <v>58.274999999999999</v>
      </c>
      <c r="L18" s="7"/>
    </row>
    <row r="19" spans="1:12">
      <c r="A19" s="27" t="s">
        <v>27</v>
      </c>
      <c r="B19" s="3" t="s">
        <v>28</v>
      </c>
      <c r="C19" s="4">
        <v>46122</v>
      </c>
      <c r="D19" s="37">
        <v>96</v>
      </c>
      <c r="E19" s="38">
        <v>9</v>
      </c>
      <c r="F19" s="39">
        <f>IF(E19=0,0,D19/E19)</f>
        <v>10.666666666666666</v>
      </c>
      <c r="G19" s="28">
        <f>IF(E19=0,0,SUMPRODUCT(F19:F20,J19:J20)/(I19*2.52))</f>
        <v>2.1917989417989419</v>
      </c>
      <c r="H19" s="29">
        <f>G19*I19*E19</f>
        <v>690.41666666666663</v>
      </c>
      <c r="I19" s="29">
        <v>35</v>
      </c>
      <c r="J19" s="5">
        <v>1.05</v>
      </c>
      <c r="K19" s="6">
        <f>2.52/J19*I19</f>
        <v>84</v>
      </c>
      <c r="L19" s="7">
        <f>E19*I19</f>
        <v>315</v>
      </c>
    </row>
    <row r="20" spans="1:12">
      <c r="A20" s="27"/>
      <c r="B20" s="3" t="s">
        <v>29</v>
      </c>
      <c r="C20" s="4">
        <v>46272</v>
      </c>
      <c r="D20" s="37">
        <v>1561</v>
      </c>
      <c r="E20" s="38"/>
      <c r="F20" s="39">
        <f>IF(E19=0,0,D20/E19)</f>
        <v>173.44444444444446</v>
      </c>
      <c r="G20" s="28"/>
      <c r="H20" s="29"/>
      <c r="I20" s="29"/>
      <c r="J20" s="5">
        <v>1.05</v>
      </c>
      <c r="K20" s="6">
        <f>2.52/J20*I19</f>
        <v>84</v>
      </c>
      <c r="L20" s="7"/>
    </row>
    <row r="21" spans="1:12">
      <c r="A21" s="27" t="s">
        <v>30</v>
      </c>
      <c r="B21" s="3" t="s">
        <v>31</v>
      </c>
      <c r="C21" s="4">
        <v>46255</v>
      </c>
      <c r="D21" s="37">
        <v>2133</v>
      </c>
      <c r="E21" s="38">
        <v>9</v>
      </c>
      <c r="F21" s="39">
        <f>IF(E21=0,0,D21/E21)</f>
        <v>237</v>
      </c>
      <c r="G21" s="28">
        <f>IF(E21=0,0,SUMPRODUCT(F21:F22,J21:J22)/(I21*2.52))</f>
        <v>1.7942773600668334</v>
      </c>
      <c r="H21" s="29">
        <f>G21*I21*E21</f>
        <v>613.642857142857</v>
      </c>
      <c r="I21" s="29">
        <v>38</v>
      </c>
      <c r="J21" s="5">
        <v>0.7</v>
      </c>
      <c r="K21" s="6">
        <f>2.52/J21*I21</f>
        <v>136.80000000000001</v>
      </c>
      <c r="L21" s="7">
        <f>E21*I21</f>
        <v>342</v>
      </c>
    </row>
    <row r="22" spans="1:12">
      <c r="A22" s="27"/>
      <c r="B22" s="3" t="s">
        <v>31</v>
      </c>
      <c r="C22" s="4">
        <v>46255</v>
      </c>
      <c r="D22" s="37">
        <v>74</v>
      </c>
      <c r="E22" s="38"/>
      <c r="F22" s="39">
        <f>IF(E21=0,0,D22/E21)</f>
        <v>8.2222222222222214</v>
      </c>
      <c r="G22" s="28"/>
      <c r="H22" s="29"/>
      <c r="I22" s="29"/>
      <c r="J22" s="5">
        <v>0.72</v>
      </c>
      <c r="K22" s="6">
        <f>2.52/J22*I21</f>
        <v>133</v>
      </c>
      <c r="L22" s="7"/>
    </row>
    <row r="23" spans="1:12">
      <c r="A23" s="27" t="s">
        <v>32</v>
      </c>
      <c r="B23" s="3" t="s">
        <v>14</v>
      </c>
      <c r="C23" s="4">
        <v>46267</v>
      </c>
      <c r="D23" s="37">
        <v>667</v>
      </c>
      <c r="E23" s="38">
        <v>9</v>
      </c>
      <c r="F23" s="39">
        <f>IF(E23=0,0,D23/E23)</f>
        <v>74.111111111111114</v>
      </c>
      <c r="G23" s="28">
        <f>IF(E23=0,0,SUMPRODUCT(F23:F24,J23:J24)/(I23*2.52))</f>
        <v>1.4677640603566531</v>
      </c>
      <c r="H23" s="29">
        <f>G23*I23*E23</f>
        <v>475.5555555555556</v>
      </c>
      <c r="I23" s="29">
        <v>36</v>
      </c>
      <c r="J23" s="5">
        <v>1.62</v>
      </c>
      <c r="K23" s="6">
        <f>2.52/J23*I23</f>
        <v>55.999999999999993</v>
      </c>
      <c r="L23" s="7">
        <f>E23*I23</f>
        <v>324</v>
      </c>
    </row>
    <row r="24" spans="1:12">
      <c r="A24" s="27"/>
      <c r="B24" s="3" t="s">
        <v>14</v>
      </c>
      <c r="C24" s="4">
        <v>46267</v>
      </c>
      <c r="D24" s="37">
        <v>71</v>
      </c>
      <c r="E24" s="38"/>
      <c r="F24" s="39">
        <f>IF(E23=0,0,D24/E23)</f>
        <v>7.8888888888888893</v>
      </c>
      <c r="G24" s="28"/>
      <c r="H24" s="29"/>
      <c r="I24" s="29"/>
      <c r="J24" s="5">
        <v>1.66</v>
      </c>
      <c r="K24" s="6">
        <f>2.52/J24*I23</f>
        <v>54.650602409638552</v>
      </c>
      <c r="L24" s="7"/>
    </row>
    <row r="25" spans="1:12">
      <c r="A25" s="27" t="s">
        <v>33</v>
      </c>
      <c r="B25" s="5" t="s">
        <v>34</v>
      </c>
      <c r="C25" s="4">
        <v>46206</v>
      </c>
      <c r="D25" s="37">
        <v>0</v>
      </c>
      <c r="E25" s="38">
        <v>9</v>
      </c>
      <c r="F25" s="39">
        <f>IF(E25=0,0,D25/E25)</f>
        <v>0</v>
      </c>
      <c r="G25" s="28">
        <f>IF(E25=0,0,SUMPRODUCT(F25:F31,J25:J31)/(I25*2.52))</f>
        <v>2.8286528286528285</v>
      </c>
      <c r="H25" s="29">
        <f>G25*I25*E25</f>
        <v>992.85714285714289</v>
      </c>
      <c r="I25" s="29">
        <v>39</v>
      </c>
      <c r="J25" s="5">
        <v>0.2</v>
      </c>
      <c r="K25" s="6">
        <f>2.52/J25*I25</f>
        <v>491.4</v>
      </c>
      <c r="L25" s="7">
        <f>E25*I25</f>
        <v>351</v>
      </c>
    </row>
    <row r="26" spans="1:12">
      <c r="A26" s="27"/>
      <c r="B26" s="5" t="s">
        <v>35</v>
      </c>
      <c r="C26" s="4">
        <v>46206</v>
      </c>
      <c r="D26" s="37">
        <v>2167</v>
      </c>
      <c r="E26" s="38"/>
      <c r="F26" s="39">
        <f>IF(E25=0,0,D26/E25)</f>
        <v>240.77777777777777</v>
      </c>
      <c r="G26" s="28"/>
      <c r="H26" s="29"/>
      <c r="I26" s="29"/>
      <c r="J26" s="5">
        <v>0.2</v>
      </c>
      <c r="K26" s="6">
        <f>2.52/J26*I25</f>
        <v>491.4</v>
      </c>
      <c r="L26" s="7"/>
    </row>
    <row r="27" spans="1:12">
      <c r="A27" s="27"/>
      <c r="B27" s="5" t="s">
        <v>36</v>
      </c>
      <c r="C27" s="4">
        <v>46206</v>
      </c>
      <c r="D27" s="37">
        <v>32</v>
      </c>
      <c r="E27" s="38"/>
      <c r="F27" s="39">
        <f>IF(E25=0,0,D27/E25)</f>
        <v>3.5555555555555554</v>
      </c>
      <c r="G27" s="28"/>
      <c r="H27" s="29"/>
      <c r="I27" s="29"/>
      <c r="J27" s="5">
        <v>0.2</v>
      </c>
      <c r="K27" s="6">
        <f>2.52/J27*I25</f>
        <v>491.4</v>
      </c>
      <c r="L27" s="7"/>
    </row>
    <row r="28" spans="1:12">
      <c r="A28" s="27"/>
      <c r="B28" s="5" t="s">
        <v>37</v>
      </c>
      <c r="C28" s="4">
        <v>46206</v>
      </c>
      <c r="D28" s="37">
        <v>21</v>
      </c>
      <c r="E28" s="38"/>
      <c r="F28" s="39">
        <f>IF(E25=0,0,D28/E25)</f>
        <v>2.3333333333333335</v>
      </c>
      <c r="G28" s="28"/>
      <c r="H28" s="29"/>
      <c r="I28" s="29"/>
      <c r="J28" s="5">
        <v>0.2</v>
      </c>
      <c r="K28" s="6">
        <f>2.52/J28*I25</f>
        <v>491.4</v>
      </c>
      <c r="L28" s="7"/>
    </row>
    <row r="29" spans="1:12">
      <c r="A29" s="27"/>
      <c r="B29" s="5" t="s">
        <v>38</v>
      </c>
      <c r="C29" s="4">
        <v>46206</v>
      </c>
      <c r="D29" s="37">
        <v>686</v>
      </c>
      <c r="E29" s="38"/>
      <c r="F29" s="39">
        <f>IF(E25=0,0,D29/E25)</f>
        <v>76.222222222222229</v>
      </c>
      <c r="G29" s="28"/>
      <c r="H29" s="29"/>
      <c r="I29" s="29"/>
      <c r="J29" s="5">
        <v>0.21</v>
      </c>
      <c r="K29" s="6">
        <f>2.52/J29*I25</f>
        <v>468</v>
      </c>
      <c r="L29" s="7"/>
    </row>
    <row r="30" spans="1:12">
      <c r="A30" s="27"/>
      <c r="B30" s="5" t="s">
        <v>39</v>
      </c>
      <c r="C30" s="4">
        <v>46206</v>
      </c>
      <c r="D30" s="37">
        <v>4616</v>
      </c>
      <c r="E30" s="38"/>
      <c r="F30" s="39">
        <f>IF(E25=0,0,D30/E25)</f>
        <v>512.88888888888891</v>
      </c>
      <c r="G30" s="28"/>
      <c r="H30" s="29"/>
      <c r="I30" s="29"/>
      <c r="J30" s="5">
        <v>0.21</v>
      </c>
      <c r="K30" s="6">
        <f>2.52/J30*I25</f>
        <v>468</v>
      </c>
      <c r="L30" s="7"/>
    </row>
    <row r="31" spans="1:12">
      <c r="A31" s="27"/>
      <c r="B31" s="5" t="s">
        <v>40</v>
      </c>
      <c r="C31" s="4">
        <v>46206</v>
      </c>
      <c r="D31" s="37">
        <v>4498</v>
      </c>
      <c r="E31" s="38"/>
      <c r="F31" s="39">
        <f>IF(E25=0,0,D31/E25)</f>
        <v>499.77777777777777</v>
      </c>
      <c r="G31" s="28"/>
      <c r="H31" s="29"/>
      <c r="I31" s="29"/>
      <c r="J31" s="5">
        <v>0.21</v>
      </c>
      <c r="K31" s="6">
        <f>2.52/J31*I25</f>
        <v>468</v>
      </c>
      <c r="L31" s="7"/>
    </row>
    <row r="32" spans="1:12">
      <c r="A32" s="27" t="s">
        <v>41</v>
      </c>
      <c r="B32" s="3" t="s">
        <v>42</v>
      </c>
      <c r="C32" s="4">
        <v>46260</v>
      </c>
      <c r="D32" s="37">
        <v>2278</v>
      </c>
      <c r="E32" s="38">
        <v>9</v>
      </c>
      <c r="F32" s="39">
        <f>IF(E32=0,0,D32/E32)</f>
        <v>253.11111111111111</v>
      </c>
      <c r="G32" s="28">
        <f>IF(E32=0,0,SUMPRODUCT(F32:F33,J32:J33)/(I32*2.52))</f>
        <v>1.549688908485205</v>
      </c>
      <c r="H32" s="29">
        <f>G32*I32*E32</f>
        <v>502.09920634920644</v>
      </c>
      <c r="I32" s="29">
        <v>36</v>
      </c>
      <c r="J32" s="5">
        <v>0.55000000000000004</v>
      </c>
      <c r="K32" s="6">
        <f>2.52/J32*I32</f>
        <v>164.94545454545451</v>
      </c>
      <c r="L32" s="7">
        <f>E32*I32</f>
        <v>324</v>
      </c>
    </row>
    <row r="33" spans="1:12">
      <c r="A33" s="27"/>
      <c r="B33" s="3" t="s">
        <v>42</v>
      </c>
      <c r="C33" s="4">
        <v>46260</v>
      </c>
      <c r="D33" s="37">
        <v>21</v>
      </c>
      <c r="E33" s="38"/>
      <c r="F33" s="39">
        <f>IF(E32=0,0,D33/E32)</f>
        <v>2.3333333333333335</v>
      </c>
      <c r="G33" s="28"/>
      <c r="H33" s="29"/>
      <c r="I33" s="29"/>
      <c r="J33" s="5">
        <v>0.59</v>
      </c>
      <c r="K33" s="6">
        <f>2.52/J33*I32</f>
        <v>153.76271186440678</v>
      </c>
      <c r="L33" s="7"/>
    </row>
    <row r="34" spans="1:12">
      <c r="A34" s="8" t="s">
        <v>43</v>
      </c>
      <c r="B34" s="3" t="s">
        <v>22</v>
      </c>
      <c r="C34" s="4">
        <v>46258</v>
      </c>
      <c r="D34" s="37">
        <v>1103</v>
      </c>
      <c r="E34" s="40">
        <v>9</v>
      </c>
      <c r="F34" s="39">
        <f>IF(E34=0,0,D34/E34)</f>
        <v>122.55555555555556</v>
      </c>
      <c r="G34" s="9">
        <f>IF(E34=0,0,SUMPRODUCT(F34:F34,J34:J34)/(I34*2.52))</f>
        <v>1.6315639756499971</v>
      </c>
      <c r="H34" s="10">
        <f>G34*I34*E34</f>
        <v>455.20634920634922</v>
      </c>
      <c r="I34" s="10">
        <v>31</v>
      </c>
      <c r="J34" s="5">
        <v>1.04</v>
      </c>
      <c r="K34" s="6">
        <f>2.52/J34*I34</f>
        <v>75.115384615384613</v>
      </c>
      <c r="L34" s="7">
        <f>E34*I34</f>
        <v>279</v>
      </c>
    </row>
    <row r="35" spans="1:12">
      <c r="A35" s="27" t="s">
        <v>44</v>
      </c>
      <c r="B35" s="3" t="s">
        <v>45</v>
      </c>
      <c r="C35" s="4"/>
      <c r="D35" s="37">
        <v>0</v>
      </c>
      <c r="E35" s="38">
        <v>8</v>
      </c>
      <c r="F35" s="39">
        <f>IF(E35=0,0,D35/E35)</f>
        <v>0</v>
      </c>
      <c r="G35" s="28">
        <f>IF(E35=0,0,SUMPRODUCT(F35:F36,J35:J36)/(I35*2.52))</f>
        <v>1.194078947368421</v>
      </c>
      <c r="H35" s="29">
        <f>G35*I35*E35</f>
        <v>363</v>
      </c>
      <c r="I35" s="29">
        <v>38</v>
      </c>
      <c r="J35" s="5">
        <v>1.1000000000000001</v>
      </c>
      <c r="K35" s="6">
        <f>2.52/J35*I35</f>
        <v>87.054545454545448</v>
      </c>
      <c r="L35" s="7">
        <f>E35*I35</f>
        <v>304</v>
      </c>
    </row>
    <row r="36" spans="1:12">
      <c r="A36" s="27"/>
      <c r="B36" s="3" t="s">
        <v>46</v>
      </c>
      <c r="C36" s="4">
        <v>46255</v>
      </c>
      <c r="D36" s="37">
        <v>1386</v>
      </c>
      <c r="E36" s="38"/>
      <c r="F36" s="39">
        <f>IF(E35=0,0,D36/E35)</f>
        <v>173.25</v>
      </c>
      <c r="G36" s="28"/>
      <c r="H36" s="29"/>
      <c r="I36" s="29"/>
      <c r="J36" s="5">
        <v>0.66</v>
      </c>
      <c r="K36" s="6">
        <f>2.52/J36*I35</f>
        <v>145.09090909090909</v>
      </c>
      <c r="L36" s="7"/>
    </row>
    <row r="37" spans="1:12">
      <c r="A37" s="27" t="s">
        <v>47</v>
      </c>
      <c r="B37" s="3" t="s">
        <v>42</v>
      </c>
      <c r="C37" s="4">
        <v>46267</v>
      </c>
      <c r="D37" s="37">
        <v>2119</v>
      </c>
      <c r="E37" s="38">
        <v>9</v>
      </c>
      <c r="F37" s="39">
        <f>IF(E37=0,0,D37/E37)</f>
        <v>235.44444444444446</v>
      </c>
      <c r="G37" s="28">
        <f>IF(E37=0,0,SUMPRODUCT(F37:F38,J37:J38)/(I37*2.52))</f>
        <v>1.5666319277430392</v>
      </c>
      <c r="H37" s="29">
        <f>G37*I37*E37</f>
        <v>465.28968253968264</v>
      </c>
      <c r="I37" s="29">
        <v>33</v>
      </c>
      <c r="J37" s="5">
        <v>0.55000000000000004</v>
      </c>
      <c r="K37" s="6">
        <f>2.52/J37*I37</f>
        <v>151.19999999999999</v>
      </c>
      <c r="L37" s="7">
        <f>E37*I37</f>
        <v>297</v>
      </c>
    </row>
    <row r="38" spans="1:12">
      <c r="A38" s="27"/>
      <c r="B38" s="3" t="s">
        <v>42</v>
      </c>
      <c r="C38" s="4">
        <v>46267</v>
      </c>
      <c r="D38" s="37">
        <v>12</v>
      </c>
      <c r="E38" s="38"/>
      <c r="F38" s="39">
        <f>IF(E37=0,0,D38/E37)</f>
        <v>1.3333333333333333</v>
      </c>
      <c r="G38" s="28"/>
      <c r="H38" s="29"/>
      <c r="I38" s="29"/>
      <c r="J38" s="5">
        <v>0.59</v>
      </c>
      <c r="K38" s="6">
        <f>2.52/J38*I37</f>
        <v>140.9491525423729</v>
      </c>
      <c r="L38" s="7"/>
    </row>
    <row r="39" spans="1:12">
      <c r="A39" s="8" t="s">
        <v>48</v>
      </c>
      <c r="B39" s="3" t="s">
        <v>49</v>
      </c>
      <c r="C39" s="4">
        <v>46246</v>
      </c>
      <c r="D39" s="37">
        <v>901</v>
      </c>
      <c r="E39" s="40">
        <v>9</v>
      </c>
      <c r="F39" s="39">
        <f>IF(E39=0,0,D39/E39)</f>
        <v>100.11111111111111</v>
      </c>
      <c r="G39" s="9">
        <f>IF(E39=0,0,SUMPRODUCT(F39:F39,J39:J39)/(I39*2.52))</f>
        <v>1.6663114834411132</v>
      </c>
      <c r="H39" s="10">
        <f>G39*I39*E39</f>
        <v>539.88492063492072</v>
      </c>
      <c r="I39" s="10">
        <v>36</v>
      </c>
      <c r="J39" s="5">
        <v>1.51</v>
      </c>
      <c r="K39" s="6">
        <f>2.52/J39*I39</f>
        <v>60.079470198675502</v>
      </c>
      <c r="L39" s="7">
        <f>E39*I39</f>
        <v>324</v>
      </c>
    </row>
    <row r="40" spans="1:12">
      <c r="A40" s="27" t="s">
        <v>50</v>
      </c>
      <c r="B40" s="3" t="s">
        <v>24</v>
      </c>
      <c r="C40" s="4">
        <v>46253</v>
      </c>
      <c r="D40" s="37">
        <v>417</v>
      </c>
      <c r="E40" s="38">
        <v>8</v>
      </c>
      <c r="F40" s="39">
        <f>IF(E40=0,0,D40/E40)</f>
        <v>52.125</v>
      </c>
      <c r="G40" s="28">
        <f>IF(E40=0,0,SUMPRODUCT(F40:F43,J40:J43)/(I40*2.52))</f>
        <v>0.99423036758563066</v>
      </c>
      <c r="H40" s="29">
        <f>G40*I40*E40</f>
        <v>302.24603174603175</v>
      </c>
      <c r="I40" s="29">
        <v>38</v>
      </c>
      <c r="J40" s="5">
        <v>1.47</v>
      </c>
      <c r="K40" s="6">
        <f>2.52/J40*I40</f>
        <v>65.142857142857153</v>
      </c>
      <c r="L40" s="7">
        <f>E40*I40</f>
        <v>304</v>
      </c>
    </row>
    <row r="41" spans="1:12">
      <c r="A41" s="27"/>
      <c r="B41" s="3" t="s">
        <v>24</v>
      </c>
      <c r="C41" s="4">
        <v>46253</v>
      </c>
      <c r="D41" s="37">
        <v>77</v>
      </c>
      <c r="E41" s="38"/>
      <c r="F41" s="39">
        <f>IF(E40=0,0,D41/E40)</f>
        <v>9.625</v>
      </c>
      <c r="G41" s="28"/>
      <c r="H41" s="29"/>
      <c r="I41" s="29"/>
      <c r="J41" s="5">
        <v>1.51</v>
      </c>
      <c r="K41" s="6">
        <f>2.52/J41*I40</f>
        <v>63.41721854304636</v>
      </c>
      <c r="L41" s="7"/>
    </row>
    <row r="42" spans="1:12">
      <c r="A42" s="27"/>
      <c r="B42" s="3" t="s">
        <v>14</v>
      </c>
      <c r="C42" s="4">
        <v>46275</v>
      </c>
      <c r="D42" s="37">
        <v>20</v>
      </c>
      <c r="E42" s="38"/>
      <c r="F42" s="39">
        <f>IF(E40=0,0,D42/E40)</f>
        <v>2.5</v>
      </c>
      <c r="G42" s="28"/>
      <c r="H42" s="29"/>
      <c r="I42" s="29"/>
      <c r="J42" s="5">
        <v>1.62</v>
      </c>
      <c r="K42" s="6">
        <f>2.52/J42*I40</f>
        <v>59.1111111111111</v>
      </c>
      <c r="L42" s="7"/>
    </row>
    <row r="43" spans="1:12">
      <c r="A43" s="27"/>
      <c r="B43" s="3" t="s">
        <v>14</v>
      </c>
      <c r="C43" s="4">
        <v>46275</v>
      </c>
      <c r="D43" s="37">
        <v>0</v>
      </c>
      <c r="E43" s="38"/>
      <c r="F43" s="39">
        <f>IF(E40=0,0,D43/E40)</f>
        <v>0</v>
      </c>
      <c r="G43" s="28"/>
      <c r="H43" s="29"/>
      <c r="I43" s="29"/>
      <c r="J43" s="5">
        <v>1.66</v>
      </c>
      <c r="K43" s="6">
        <f>2.52/J43*I40</f>
        <v>57.686746987951807</v>
      </c>
      <c r="L43" s="7"/>
    </row>
    <row r="44" spans="1:12">
      <c r="A44" s="8" t="s">
        <v>51</v>
      </c>
      <c r="B44" s="3" t="s">
        <v>28</v>
      </c>
      <c r="C44" s="4">
        <v>46122</v>
      </c>
      <c r="D44" s="37">
        <v>1740</v>
      </c>
      <c r="E44" s="40">
        <v>9</v>
      </c>
      <c r="F44" s="39">
        <f>IF(E44=0,0,D44/E44)</f>
        <v>193.33333333333334</v>
      </c>
      <c r="G44" s="9">
        <f>IF(E44=0,0,SUMPRODUCT(F44:F44,J44:J44)/(I44*2.52))</f>
        <v>2.1198830409356728</v>
      </c>
      <c r="H44" s="10">
        <f>G44*I44*E44</f>
        <v>725.00000000000011</v>
      </c>
      <c r="I44" s="10">
        <v>38</v>
      </c>
      <c r="J44" s="5">
        <v>1.05</v>
      </c>
      <c r="K44" s="6">
        <f>2.52/J44*I44</f>
        <v>91.2</v>
      </c>
      <c r="L44" s="7">
        <f>E44*I44</f>
        <v>342</v>
      </c>
    </row>
    <row r="45" spans="1:12">
      <c r="A45" s="8" t="s">
        <v>52</v>
      </c>
      <c r="B45" s="3" t="s">
        <v>22</v>
      </c>
      <c r="C45" s="4">
        <v>46267</v>
      </c>
      <c r="D45" s="37">
        <v>513</v>
      </c>
      <c r="E45" s="40">
        <v>8</v>
      </c>
      <c r="F45" s="39">
        <f>IF(E45=0,0,D45/E45)</f>
        <v>64.125</v>
      </c>
      <c r="G45" s="9">
        <f>IF(E45=0,0,SUMPRODUCT(F45:F45,J45:J45)/(I45*2.52))</f>
        <v>0.7366071428571429</v>
      </c>
      <c r="H45" s="10">
        <f>G45*I45*E45</f>
        <v>223.92857142857144</v>
      </c>
      <c r="I45" s="10">
        <v>38</v>
      </c>
      <c r="J45" s="5">
        <v>1.1000000000000001</v>
      </c>
      <c r="K45" s="6">
        <f>2.52/J45*I45</f>
        <v>87.054545454545448</v>
      </c>
      <c r="L45" s="7">
        <f>E45*I45</f>
        <v>304</v>
      </c>
    </row>
    <row r="46" spans="1:12">
      <c r="A46" s="27" t="s">
        <v>53</v>
      </c>
      <c r="B46" s="3" t="s">
        <v>54</v>
      </c>
      <c r="C46" s="4">
        <v>46267</v>
      </c>
      <c r="D46" s="37">
        <v>1221</v>
      </c>
      <c r="E46" s="38">
        <v>9</v>
      </c>
      <c r="F46" s="39">
        <f>IF(E46=0,0,D46/E46)</f>
        <v>135.66666666666666</v>
      </c>
      <c r="G46" s="28">
        <f>IF(E46=0,0,SUMPRODUCT(F46:F47,J46:J47)/(I46*2.52))</f>
        <v>2.0396825396825395</v>
      </c>
      <c r="H46" s="29">
        <f>G46*I46*E46</f>
        <v>697.57142857142856</v>
      </c>
      <c r="I46" s="29">
        <v>38</v>
      </c>
      <c r="J46" s="5">
        <v>0.76</v>
      </c>
      <c r="K46" s="6">
        <f>2.52/J46*I46</f>
        <v>126</v>
      </c>
      <c r="L46" s="7">
        <f>E46*I46</f>
        <v>342</v>
      </c>
    </row>
    <row r="47" spans="1:12">
      <c r="A47" s="27"/>
      <c r="B47" s="3" t="s">
        <v>54</v>
      </c>
      <c r="C47" s="4">
        <v>46267</v>
      </c>
      <c r="D47" s="37">
        <v>1064</v>
      </c>
      <c r="E47" s="38"/>
      <c r="F47" s="39">
        <f>IF(E46=0,0,D47/E46)</f>
        <v>118.22222222222223</v>
      </c>
      <c r="G47" s="28"/>
      <c r="H47" s="29"/>
      <c r="I47" s="29"/>
      <c r="J47" s="5">
        <v>0.78</v>
      </c>
      <c r="K47" s="6">
        <f>2.52/J47*I46</f>
        <v>122.76923076923077</v>
      </c>
      <c r="L47" s="7"/>
    </row>
    <row r="48" spans="1:12">
      <c r="A48" s="27" t="s">
        <v>55</v>
      </c>
      <c r="B48" s="3" t="s">
        <v>42</v>
      </c>
      <c r="C48" s="4">
        <v>46266</v>
      </c>
      <c r="D48" s="37">
        <v>2369</v>
      </c>
      <c r="E48" s="38">
        <v>9</v>
      </c>
      <c r="F48" s="39">
        <f>IF(E48=0,0,D48/E48)</f>
        <v>263.22222222222223</v>
      </c>
      <c r="G48" s="28">
        <f>IF(E48=0,0,SUMPRODUCT(F48:F49,J48:J49)/(I48*2.52))</f>
        <v>1.5751823251823254</v>
      </c>
      <c r="H48" s="29">
        <f>G48*I48*E48</f>
        <v>524.53571428571433</v>
      </c>
      <c r="I48" s="29">
        <v>37</v>
      </c>
      <c r="J48" s="5">
        <v>0.55000000000000004</v>
      </c>
      <c r="K48" s="6">
        <f>2.52/J48*I48</f>
        <v>169.5272727272727</v>
      </c>
      <c r="L48" s="7">
        <f>E48*I48</f>
        <v>333</v>
      </c>
    </row>
    <row r="49" spans="1:12">
      <c r="A49" s="27"/>
      <c r="B49" s="3" t="s">
        <v>42</v>
      </c>
      <c r="C49" s="4">
        <v>46266</v>
      </c>
      <c r="D49" s="37">
        <v>32</v>
      </c>
      <c r="E49" s="38"/>
      <c r="F49" s="39">
        <f>IF(E48=0,0,D49/E48)</f>
        <v>3.5555555555555554</v>
      </c>
      <c r="G49" s="28"/>
      <c r="H49" s="29"/>
      <c r="I49" s="29"/>
      <c r="J49" s="5">
        <v>0.59</v>
      </c>
      <c r="K49" s="6">
        <f>2.52/J49*I48</f>
        <v>158.03389830508476</v>
      </c>
      <c r="L49" s="7"/>
    </row>
    <row r="50" spans="1:12">
      <c r="A50" s="8" t="s">
        <v>56</v>
      </c>
      <c r="B50" s="3" t="s">
        <v>57</v>
      </c>
      <c r="C50" s="4">
        <v>46255</v>
      </c>
      <c r="D50" s="37">
        <v>1110</v>
      </c>
      <c r="E50" s="40">
        <v>9</v>
      </c>
      <c r="F50" s="39">
        <f>IF(E50=0,0,D50/E50)</f>
        <v>123.33333333333333</v>
      </c>
      <c r="G50" s="9">
        <f>IF(E50=0,0,SUMPRODUCT(F50:F50,J50:J50)/(I50*2.52))</f>
        <v>1.7265579071134627</v>
      </c>
      <c r="H50" s="10">
        <f>G50*I50*E50</f>
        <v>559.40476190476193</v>
      </c>
      <c r="I50" s="10">
        <v>36</v>
      </c>
      <c r="J50" s="5">
        <v>1.27</v>
      </c>
      <c r="K50" s="6">
        <f>2.52/J50*I50</f>
        <v>71.433070866141733</v>
      </c>
      <c r="L50" s="7">
        <f>E50*I50</f>
        <v>324</v>
      </c>
    </row>
    <row r="51" spans="1:12">
      <c r="A51" s="21" t="s">
        <v>58</v>
      </c>
      <c r="B51" s="22"/>
      <c r="C51" s="23"/>
      <c r="D51" s="11">
        <f>SUM(D5:D50)</f>
        <v>36655</v>
      </c>
      <c r="E51" s="12">
        <f>SUM(E5:E50)</f>
        <v>174</v>
      </c>
      <c r="F51" s="13"/>
      <c r="G51" s="14">
        <f>SUM(H5:H50)/L51</f>
        <v>1.5482004836348557</v>
      </c>
      <c r="H51" s="11"/>
      <c r="I51" s="11">
        <f>SUM(I5:I50)</f>
        <v>731</v>
      </c>
      <c r="J51" s="11"/>
      <c r="K51" s="13"/>
      <c r="L51" s="15">
        <f>SUM(L5:L50)</f>
        <v>6354</v>
      </c>
    </row>
    <row r="52" spans="1:12" ht="13.5" thickBot="1">
      <c r="A52" s="24" t="s">
        <v>59</v>
      </c>
      <c r="B52" s="25"/>
      <c r="C52" s="26"/>
      <c r="D52" s="16">
        <f>SUMIF(A5:A51, "&lt;&gt;Summary", D5:D51)</f>
        <v>36655</v>
      </c>
      <c r="E52" s="17">
        <f>SUMIF(A5:A51, "&lt;&gt;Summary", E5:E51)</f>
        <v>174</v>
      </c>
      <c r="F52" s="18"/>
      <c r="G52" s="19">
        <f>SUMIF(A5:A51, "&lt;&gt;Summary", H5:H51)/L52</f>
        <v>1.5482004836348557</v>
      </c>
      <c r="H52" s="16"/>
      <c r="I52" s="16">
        <f>SUMIF(A5:A51, "&lt;&gt;Summary", I5:I51)</f>
        <v>731</v>
      </c>
      <c r="J52" s="16"/>
      <c r="K52" s="18"/>
      <c r="L52" s="20">
        <f>SUMIF(A5:A51, "&lt;&gt;Summary", L5:L51)</f>
        <v>6354</v>
      </c>
    </row>
    <row r="53" spans="1:12" ht="13.5" thickTop="1"/>
    <row r="54" spans="1:12">
      <c r="C54" s="36" t="s">
        <v>60</v>
      </c>
      <c r="D54" s="36">
        <f>SUM(H5:H18)/SUM(L5:L18)</f>
        <v>1.104612934710022</v>
      </c>
    </row>
    <row r="55" spans="1:12">
      <c r="C55" s="36" t="s">
        <v>61</v>
      </c>
      <c r="D55" s="36">
        <f>SUM(H19:H33)/SUM(L19:L33)</f>
        <v>1.9773982056590751</v>
      </c>
    </row>
    <row r="56" spans="1:12">
      <c r="C56" s="36" t="s">
        <v>62</v>
      </c>
      <c r="D56" s="36">
        <f>SUM(H34:H43)/SUM(L34:L43)</f>
        <v>1.4095669656014485</v>
      </c>
    </row>
    <row r="57" spans="1:12">
      <c r="C57" s="36" t="s">
        <v>63</v>
      </c>
      <c r="D57" s="36">
        <f>SUM(H44:H50)/SUM(L44:L50)</f>
        <v>1.6598422347662469</v>
      </c>
    </row>
  </sheetData>
  <mergeCells count="84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7:A9"/>
    <mergeCell ref="E7:E9"/>
    <mergeCell ref="G7:G9"/>
    <mergeCell ref="H7:H9"/>
    <mergeCell ref="I7:I9"/>
    <mergeCell ref="A5:A6"/>
    <mergeCell ref="E5:E6"/>
    <mergeCell ref="G5:G6"/>
    <mergeCell ref="H5:H6"/>
    <mergeCell ref="I5:I6"/>
    <mergeCell ref="A13:A18"/>
    <mergeCell ref="E13:E18"/>
    <mergeCell ref="G13:G18"/>
    <mergeCell ref="H13:H18"/>
    <mergeCell ref="I13:I18"/>
    <mergeCell ref="A10:A11"/>
    <mergeCell ref="E10:E11"/>
    <mergeCell ref="G10:G11"/>
    <mergeCell ref="H10:H11"/>
    <mergeCell ref="I10:I11"/>
    <mergeCell ref="A21:A22"/>
    <mergeCell ref="E21:E22"/>
    <mergeCell ref="G21:G22"/>
    <mergeCell ref="H21:H22"/>
    <mergeCell ref="I21:I22"/>
    <mergeCell ref="A19:A20"/>
    <mergeCell ref="E19:E20"/>
    <mergeCell ref="G19:G20"/>
    <mergeCell ref="H19:H20"/>
    <mergeCell ref="I19:I20"/>
    <mergeCell ref="A25:A31"/>
    <mergeCell ref="E25:E31"/>
    <mergeCell ref="G25:G31"/>
    <mergeCell ref="H25:H31"/>
    <mergeCell ref="I25:I31"/>
    <mergeCell ref="A23:A24"/>
    <mergeCell ref="E23:E24"/>
    <mergeCell ref="G23:G24"/>
    <mergeCell ref="H23:H24"/>
    <mergeCell ref="I23:I24"/>
    <mergeCell ref="A35:A36"/>
    <mergeCell ref="E35:E36"/>
    <mergeCell ref="G35:G36"/>
    <mergeCell ref="H35:H36"/>
    <mergeCell ref="I35:I36"/>
    <mergeCell ref="A32:A33"/>
    <mergeCell ref="E32:E33"/>
    <mergeCell ref="G32:G33"/>
    <mergeCell ref="H32:H33"/>
    <mergeCell ref="I32:I33"/>
    <mergeCell ref="A40:A43"/>
    <mergeCell ref="E40:E43"/>
    <mergeCell ref="G40:G43"/>
    <mergeCell ref="H40:H43"/>
    <mergeCell ref="I40:I43"/>
    <mergeCell ref="A37:A38"/>
    <mergeCell ref="E37:E38"/>
    <mergeCell ref="G37:G38"/>
    <mergeCell ref="H37:H38"/>
    <mergeCell ref="I37:I38"/>
    <mergeCell ref="H46:H47"/>
    <mergeCell ref="I46:I47"/>
    <mergeCell ref="A48:A49"/>
    <mergeCell ref="E48:E49"/>
    <mergeCell ref="G48:G49"/>
    <mergeCell ref="H48:H49"/>
    <mergeCell ref="I48:I49"/>
    <mergeCell ref="A51:C51"/>
    <mergeCell ref="A52:C52"/>
    <mergeCell ref="A46:A47"/>
    <mergeCell ref="E46:E47"/>
    <mergeCell ref="G46:G47"/>
  </mergeCells>
  <printOptions horizontalCentered="1"/>
  <pageMargins left="0.2" right="0.2" top="1" bottom="0.2" header="0.2" footer="0.2"/>
  <pageSetup paperSize="0" orientation="portrait" horizontalDpi="203" verticalDpi="203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TargetPerHari</vt:lpstr>
      <vt:lpstr>Sheet2</vt:lpstr>
      <vt:lpstr>Sheet3</vt:lpstr>
      <vt:lpstr>Sheet1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NikenSetiani</dc:creator>
  <cp:lastModifiedBy>NikenSetiani</cp:lastModifiedBy>
  <dcterms:created xsi:type="dcterms:W3CDTF">2026-09-11T00:57:47Z</dcterms:created>
  <dcterms:modified xsi:type="dcterms:W3CDTF">2026-09-11T01:01:31Z</dcterms:modified>
</cp:coreProperties>
</file>