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1" i="1"/>
  <c r="F23"/>
  <c r="F12"/>
  <c r="E38"/>
  <c r="F6"/>
  <c r="F38" s="1"/>
  <c r="F7"/>
  <c r="F8"/>
  <c r="F9"/>
  <c r="F10"/>
  <c r="F11"/>
  <c r="F14"/>
  <c r="F15"/>
  <c r="F16"/>
  <c r="F17"/>
  <c r="F18"/>
  <c r="F19"/>
  <c r="F20"/>
  <c r="F21"/>
  <c r="F22"/>
  <c r="F25"/>
  <c r="F26"/>
  <c r="F27"/>
  <c r="F28"/>
  <c r="F29"/>
  <c r="F30"/>
  <c r="F33"/>
  <c r="F34"/>
  <c r="F35"/>
  <c r="F36"/>
  <c r="F37"/>
  <c r="F5"/>
  <c r="D45"/>
  <c r="D44"/>
  <c r="D43"/>
  <c r="D42"/>
  <c r="O40" l="1"/>
  <c r="I40" s="1"/>
  <c r="L40"/>
  <c r="G40"/>
  <c r="D40"/>
  <c r="O38"/>
  <c r="L38"/>
  <c r="I38"/>
  <c r="G38"/>
  <c r="D38"/>
  <c r="O37"/>
  <c r="K37"/>
  <c r="I37"/>
  <c r="N37"/>
  <c r="H37"/>
  <c r="O36"/>
  <c r="K36"/>
  <c r="I36"/>
  <c r="N36"/>
  <c r="H36"/>
  <c r="O35"/>
  <c r="K35"/>
  <c r="I35"/>
  <c r="N35"/>
  <c r="H35"/>
  <c r="O34"/>
  <c r="K34"/>
  <c r="I34"/>
  <c r="N34"/>
  <c r="H34"/>
  <c r="O33"/>
  <c r="K33"/>
  <c r="I33"/>
  <c r="N33"/>
  <c r="H33"/>
  <c r="O31"/>
  <c r="K31"/>
  <c r="I31"/>
  <c r="N32"/>
  <c r="H32"/>
  <c r="N31"/>
  <c r="H31"/>
  <c r="O30"/>
  <c r="K30"/>
  <c r="I30"/>
  <c r="N30"/>
  <c r="H30"/>
  <c r="O29"/>
  <c r="K29"/>
  <c r="I29"/>
  <c r="N29"/>
  <c r="H29"/>
  <c r="O25"/>
  <c r="K25"/>
  <c r="I25"/>
  <c r="N28"/>
  <c r="H28"/>
  <c r="N27"/>
  <c r="H27"/>
  <c r="N26"/>
  <c r="H26"/>
  <c r="N25"/>
  <c r="H25"/>
  <c r="O23"/>
  <c r="K23"/>
  <c r="I23"/>
  <c r="N24"/>
  <c r="H24"/>
  <c r="N23"/>
  <c r="H23"/>
  <c r="O22"/>
  <c r="K22"/>
  <c r="I22"/>
  <c r="N22"/>
  <c r="H22"/>
  <c r="O21"/>
  <c r="K21"/>
  <c r="I21"/>
  <c r="N21"/>
  <c r="H21"/>
  <c r="O18"/>
  <c r="K18"/>
  <c r="I18"/>
  <c r="N20"/>
  <c r="H20"/>
  <c r="N19"/>
  <c r="H19"/>
  <c r="N18"/>
  <c r="H18"/>
  <c r="O16"/>
  <c r="K16"/>
  <c r="I16"/>
  <c r="N17"/>
  <c r="H17"/>
  <c r="N16"/>
  <c r="H16"/>
  <c r="O15"/>
  <c r="K15"/>
  <c r="I15"/>
  <c r="N15"/>
  <c r="H15"/>
  <c r="O10"/>
  <c r="K10"/>
  <c r="I10"/>
  <c r="N14"/>
  <c r="H14"/>
  <c r="N13"/>
  <c r="H13"/>
  <c r="N12"/>
  <c r="H12"/>
  <c r="N11"/>
  <c r="H11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<sst xmlns="http://schemas.openxmlformats.org/spreadsheetml/2006/main" count="75" uniqueCount="61">
  <si>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</si>
  <si>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</si>
  <si>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</si>
  <si>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</si>
  <si>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</si>
  <si>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</si>
  <si>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</si>
  <si>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</si>
  <si>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</si>
  <si>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</si>
  <si>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</si>
  <si>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</si>
  <si>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</si>
  <si>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</si>
  <si>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DAB14127_Q127</t>
  </si>
  <si>
    <t>DAB15113PR_Q127</t>
  </si>
  <si>
    <t>5-02</t>
  </si>
  <si>
    <t>P6W6E9_C127</t>
  </si>
  <si>
    <t>5-03</t>
  </si>
  <si>
    <t>K880V_FA26</t>
  </si>
  <si>
    <t>5-04</t>
  </si>
  <si>
    <t>P68YG3_C127</t>
  </si>
  <si>
    <t>5-05</t>
  </si>
  <si>
    <t>G9MLYZ_C127</t>
  </si>
  <si>
    <t>W98Z8Z_C426IND</t>
  </si>
  <si>
    <t>K86W2L_C426IND</t>
  </si>
  <si>
    <t>5-06</t>
  </si>
  <si>
    <t>G95056_C127</t>
  </si>
  <si>
    <t>5-07</t>
  </si>
  <si>
    <t>K881_FA26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</si>
  <si>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</si>
  <si>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</si>
  <si>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</si>
  <si>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</si>
  <si>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</si>
  <si>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</si>
  <si>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</si>
  <si>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</si>
  <si>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5-12</t>
  </si>
  <si>
    <t>K864_FA26</t>
  </si>
  <si>
    <t>K864_SP26</t>
  </si>
  <si>
    <t>LK864_FA26</t>
  </si>
  <si>
    <t>5-13</t>
  </si>
  <si>
    <t>5-14</t>
  </si>
  <si>
    <t>5-15</t>
  </si>
  <si>
    <t>5-16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</si>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</sst>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zoomScaleNormal="100" workbookViewId="0">
      <pane ySplit="4" topLeftCell="A11" activePane="bottomLeft" state="frozen"/>
      <selection pane="bottomLeft" activeCell="I18" sqref="I18:I2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5.71093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46282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58</v>
      </c>
      <c r="F3" s="43" t="s">
        <v>59</v>
      </c>
      <c r="G3" s="35" t="s">
        <v>5</v>
      </c>
      <c r="H3" s="35" t="s">
        <v>6</v>
      </c>
      <c r="I3" s="35" t="s">
        <v>7</v>
      </c>
      <c r="J3" s="43" t="s">
        <v>60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28" t="s">
        <v>13</v>
      </c>
      <c r="B5" s="3" t="s">
        <v>14</v>
      </c>
      <c r="C5" s="4">
        <v>46272</v>
      </c>
      <c r="D5" s="5">
        <v>2</v>
      </c>
      <c r="E5" s="5">
        <v>2</v>
      </c>
      <c r="F5" s="5">
        <f>D5-E5</f>
        <v>0</v>
      </c>
      <c r="G5" s="29">
        <v>8</v>
      </c>
      <c r="H5" s="6">
        <f>IF(G5=0,0,D5/G5)</f>
        <v>0.25</v>
      </c>
      <c r="I5" s="30">
        <f>IF(G5=0,0,SUMPRODUCT(H5:H6,M5:M6)/(L5*2.52))</f>
        <v>1.4864969135802468</v>
      </c>
      <c r="J5" s="48">
        <v>1.4</v>
      </c>
      <c r="K5" s="31">
        <f>I5*L5*G5</f>
        <v>428.11111111111109</v>
      </c>
      <c r="L5" s="31">
        <v>36</v>
      </c>
      <c r="M5" s="5">
        <v>0.8</v>
      </c>
      <c r="N5" s="6">
        <f>2.52/M5*L5</f>
        <v>113.39999999999999</v>
      </c>
      <c r="O5" s="7">
        <f>G5*L5</f>
        <v>288</v>
      </c>
    </row>
    <row r="6" spans="1:15">
      <c r="A6" s="28"/>
      <c r="B6" s="3" t="s">
        <v>15</v>
      </c>
      <c r="C6" s="4">
        <v>46279</v>
      </c>
      <c r="D6" s="5">
        <v>1146</v>
      </c>
      <c r="E6" s="45">
        <v>1162</v>
      </c>
      <c r="F6" s="45">
        <f t="shared" ref="F6:F37" si="0">D6-E6</f>
        <v>-16</v>
      </c>
      <c r="G6" s="29"/>
      <c r="H6" s="6">
        <f>IF(G5=0,0,D6/G5)</f>
        <v>143.25</v>
      </c>
      <c r="I6" s="30"/>
      <c r="J6" s="49"/>
      <c r="K6" s="31"/>
      <c r="L6" s="31"/>
      <c r="M6" s="5">
        <v>0.94</v>
      </c>
      <c r="N6" s="6">
        <f>2.52/M6*L5</f>
        <v>96.510638297872347</v>
      </c>
      <c r="O6" s="7"/>
    </row>
    <row r="7" spans="1:15">
      <c r="A7" s="8" t="s">
        <v>16</v>
      </c>
      <c r="B7" s="3" t="s">
        <v>17</v>
      </c>
      <c r="C7" s="4">
        <v>46276</v>
      </c>
      <c r="D7" s="5">
        <v>893</v>
      </c>
      <c r="E7" s="45">
        <v>901</v>
      </c>
      <c r="F7" s="45">
        <f t="shared" si="0"/>
        <v>-8</v>
      </c>
      <c r="G7" s="9">
        <v>9</v>
      </c>
      <c r="H7" s="6">
        <f>IF(G7=0,0,D7/G7)</f>
        <v>99.222222222222229</v>
      </c>
      <c r="I7" s="10">
        <f>IF(G7=0,0,SUMPRODUCT(H7:H7,M7:M7)/(L7*2.52))</f>
        <v>1.5865364664384274</v>
      </c>
      <c r="J7" s="10">
        <v>1.7</v>
      </c>
      <c r="K7" s="11">
        <f>I7*L7*G7</f>
        <v>485.48015873015879</v>
      </c>
      <c r="L7" s="11">
        <v>34</v>
      </c>
      <c r="M7" s="5">
        <v>1.37</v>
      </c>
      <c r="N7" s="6">
        <f>2.52/M7*L7</f>
        <v>62.540145985401459</v>
      </c>
      <c r="O7" s="7">
        <f>G7*L7</f>
        <v>306</v>
      </c>
    </row>
    <row r="8" spans="1:15">
      <c r="A8" s="8" t="s">
        <v>18</v>
      </c>
      <c r="B8" s="3" t="s">
        <v>19</v>
      </c>
      <c r="C8" s="4">
        <v>46281</v>
      </c>
      <c r="D8" s="5">
        <v>462</v>
      </c>
      <c r="E8" s="45">
        <v>517</v>
      </c>
      <c r="F8" s="45">
        <f t="shared" si="0"/>
        <v>-55</v>
      </c>
      <c r="G8" s="9">
        <v>8</v>
      </c>
      <c r="H8" s="6">
        <f>IF(G8=0,0,D8/G8)</f>
        <v>57.75</v>
      </c>
      <c r="I8" s="10">
        <f>IF(G8=0,0,SUMPRODUCT(H8:H8,M8:M8)/(L8*2.52))</f>
        <v>0.9027777777777779</v>
      </c>
      <c r="J8" s="10">
        <v>1.2</v>
      </c>
      <c r="K8" s="11">
        <f>I8*L8*G8</f>
        <v>238.33333333333337</v>
      </c>
      <c r="L8" s="11">
        <v>33</v>
      </c>
      <c r="M8" s="5">
        <v>1.3</v>
      </c>
      <c r="N8" s="6">
        <f>2.52/M8*L8</f>
        <v>63.969230769230769</v>
      </c>
      <c r="O8" s="7">
        <f>G8*L8</f>
        <v>264</v>
      </c>
    </row>
    <row r="9" spans="1:15">
      <c r="A9" s="8" t="s">
        <v>20</v>
      </c>
      <c r="B9" s="3" t="s">
        <v>21</v>
      </c>
      <c r="C9" s="4">
        <v>46265</v>
      </c>
      <c r="D9" s="5">
        <v>1449</v>
      </c>
      <c r="E9" s="45">
        <v>1462</v>
      </c>
      <c r="F9" s="45">
        <f t="shared" si="0"/>
        <v>-13</v>
      </c>
      <c r="G9" s="9">
        <v>9</v>
      </c>
      <c r="H9" s="6">
        <f>IF(G9=0,0,D9/G9)</f>
        <v>161</v>
      </c>
      <c r="I9" s="10">
        <f>IF(G9=0,0,SUMPRODUCT(H9:H9,M9:M9)/(L9*2.52))</f>
        <v>1.6348039215686272</v>
      </c>
      <c r="J9" s="10">
        <v>1.6</v>
      </c>
      <c r="K9" s="11">
        <f>I9*L9*G9</f>
        <v>500.24999999999989</v>
      </c>
      <c r="L9" s="11">
        <v>34</v>
      </c>
      <c r="M9" s="5">
        <v>0.87</v>
      </c>
      <c r="N9" s="6">
        <f>2.52/M9*L9</f>
        <v>98.482758620689651</v>
      </c>
      <c r="O9" s="7">
        <f>G9*L9</f>
        <v>306</v>
      </c>
    </row>
    <row r="10" spans="1:15">
      <c r="A10" s="28" t="s">
        <v>22</v>
      </c>
      <c r="B10" s="3" t="s">
        <v>23</v>
      </c>
      <c r="C10" s="4"/>
      <c r="D10" s="5">
        <v>0</v>
      </c>
      <c r="E10" s="45">
        <v>0</v>
      </c>
      <c r="F10" s="45">
        <f t="shared" si="0"/>
        <v>0</v>
      </c>
      <c r="G10" s="29">
        <v>8</v>
      </c>
      <c r="H10" s="6">
        <f>IF(G10=0,0,D10/G10)</f>
        <v>0</v>
      </c>
      <c r="I10" s="30">
        <f>IF(G10=0,0,SUMPRODUCT(H10:H14,M10:M14)/(L10*2.52))</f>
        <v>0.95144400352733705</v>
      </c>
      <c r="J10" s="48">
        <v>1</v>
      </c>
      <c r="K10" s="31">
        <f>I10*L10*G10</f>
        <v>274.01587301587307</v>
      </c>
      <c r="L10" s="31">
        <v>36</v>
      </c>
      <c r="M10" s="5">
        <v>1.56</v>
      </c>
      <c r="N10" s="6">
        <f>2.52/M10*L10</f>
        <v>58.153846153846153</v>
      </c>
      <c r="O10" s="7">
        <f>G10*L10</f>
        <v>288</v>
      </c>
    </row>
    <row r="11" spans="1:15">
      <c r="A11" s="28"/>
      <c r="B11" s="3" t="s">
        <v>23</v>
      </c>
      <c r="C11" s="4"/>
      <c r="D11" s="5">
        <v>0</v>
      </c>
      <c r="E11" s="45">
        <v>0</v>
      </c>
      <c r="F11" s="45">
        <f t="shared" si="0"/>
        <v>0</v>
      </c>
      <c r="G11" s="29"/>
      <c r="H11" s="6">
        <f>IF(G10=0,0,D11/G10)</f>
        <v>0</v>
      </c>
      <c r="I11" s="30"/>
      <c r="J11" s="50"/>
      <c r="K11" s="31"/>
      <c r="L11" s="31"/>
      <c r="M11" s="5">
        <v>1.72</v>
      </c>
      <c r="N11" s="6">
        <f>2.52/M11*L10</f>
        <v>52.744186046511629</v>
      </c>
      <c r="O11" s="7"/>
    </row>
    <row r="12" spans="1:15">
      <c r="A12" s="28"/>
      <c r="B12" s="3" t="s">
        <v>24</v>
      </c>
      <c r="C12" s="4">
        <v>46213</v>
      </c>
      <c r="D12" s="5">
        <v>169</v>
      </c>
      <c r="E12" s="46">
        <v>284</v>
      </c>
      <c r="F12" s="46">
        <f>D12+D13-E12</f>
        <v>10</v>
      </c>
      <c r="G12" s="29"/>
      <c r="H12" s="6">
        <f>IF(G10=0,0,D12/G10)</f>
        <v>21.125</v>
      </c>
      <c r="I12" s="30"/>
      <c r="J12" s="50"/>
      <c r="K12" s="31"/>
      <c r="L12" s="31"/>
      <c r="M12" s="5">
        <v>2.2200000000000002</v>
      </c>
      <c r="N12" s="6">
        <f>2.52/M12*L10</f>
        <v>40.864864864864863</v>
      </c>
      <c r="O12" s="7"/>
    </row>
    <row r="13" spans="1:15">
      <c r="A13" s="28"/>
      <c r="B13" s="3" t="s">
        <v>24</v>
      </c>
      <c r="C13" s="4">
        <v>46213</v>
      </c>
      <c r="D13" s="5">
        <v>125</v>
      </c>
      <c r="E13" s="47"/>
      <c r="F13" s="47"/>
      <c r="G13" s="29"/>
      <c r="H13" s="6">
        <f>IF(G10=0,0,D13/G10)</f>
        <v>15.625</v>
      </c>
      <c r="I13" s="30"/>
      <c r="J13" s="50"/>
      <c r="K13" s="31"/>
      <c r="L13" s="31"/>
      <c r="M13" s="5">
        <v>2.2999999999999998</v>
      </c>
      <c r="N13" s="6">
        <f>2.52/M13*L10</f>
        <v>39.443478260869568</v>
      </c>
      <c r="O13" s="7"/>
    </row>
    <row r="14" spans="1:15">
      <c r="A14" s="28"/>
      <c r="B14" s="3" t="s">
        <v>25</v>
      </c>
      <c r="C14" s="4">
        <v>46261</v>
      </c>
      <c r="D14" s="5">
        <v>32</v>
      </c>
      <c r="E14" s="45">
        <v>32</v>
      </c>
      <c r="F14" s="45">
        <f t="shared" si="0"/>
        <v>0</v>
      </c>
      <c r="G14" s="29"/>
      <c r="H14" s="6">
        <f>IF(G10=0,0,D14/G10)</f>
        <v>4</v>
      </c>
      <c r="I14" s="30"/>
      <c r="J14" s="49"/>
      <c r="K14" s="31"/>
      <c r="L14" s="31"/>
      <c r="M14" s="5">
        <v>0.87</v>
      </c>
      <c r="N14" s="6">
        <f>2.52/M14*L10</f>
        <v>104.27586206896552</v>
      </c>
      <c r="O14" s="7"/>
    </row>
    <row r="15" spans="1:15">
      <c r="A15" s="8" t="s">
        <v>26</v>
      </c>
      <c r="B15" s="3" t="s">
        <v>27</v>
      </c>
      <c r="C15" s="4">
        <v>46279</v>
      </c>
      <c r="D15" s="5">
        <v>618</v>
      </c>
      <c r="E15" s="45">
        <v>610</v>
      </c>
      <c r="F15" s="45">
        <f t="shared" si="0"/>
        <v>8</v>
      </c>
      <c r="G15" s="9">
        <v>9</v>
      </c>
      <c r="H15" s="6">
        <f>IF(G15=0,0,D15/G15)</f>
        <v>68.666666666666671</v>
      </c>
      <c r="I15" s="10">
        <f>IF(G15=0,0,SUMPRODUCT(H15:H15,M15:M15)/(L15*2.52))</f>
        <v>0.79475308641975317</v>
      </c>
      <c r="J15" s="10">
        <v>0.9</v>
      </c>
      <c r="K15" s="11">
        <f>I15*L15*G15</f>
        <v>257.5</v>
      </c>
      <c r="L15" s="11">
        <v>36</v>
      </c>
      <c r="M15" s="5">
        <v>1.05</v>
      </c>
      <c r="N15" s="6">
        <f>2.52/M15*L15</f>
        <v>86.399999999999991</v>
      </c>
      <c r="O15" s="7">
        <f>G15*L15</f>
        <v>324</v>
      </c>
    </row>
    <row r="16" spans="1:15">
      <c r="A16" s="28" t="s">
        <v>28</v>
      </c>
      <c r="B16" s="3" t="s">
        <v>29</v>
      </c>
      <c r="C16" s="4">
        <v>46219</v>
      </c>
      <c r="D16" s="5">
        <v>0</v>
      </c>
      <c r="E16" s="45">
        <v>0</v>
      </c>
      <c r="F16" s="45">
        <f t="shared" si="0"/>
        <v>0</v>
      </c>
      <c r="G16" s="29">
        <v>8</v>
      </c>
      <c r="H16" s="6">
        <f>IF(G16=0,0,D16/G16)</f>
        <v>0</v>
      </c>
      <c r="I16" s="30">
        <f>IF(G16=0,0,SUMPRODUCT(H16:H17,M16:M17)/(L16*2.52))</f>
        <v>1.3030888030888033</v>
      </c>
      <c r="J16" s="48">
        <v>1.3</v>
      </c>
      <c r="K16" s="31">
        <f>I16*L16*G16</f>
        <v>385.71428571428578</v>
      </c>
      <c r="L16" s="31">
        <v>37</v>
      </c>
      <c r="M16" s="5">
        <v>1.84</v>
      </c>
      <c r="N16" s="6">
        <f>2.52/M16*L16</f>
        <v>50.673913043478258</v>
      </c>
      <c r="O16" s="7">
        <f>G16*L16</f>
        <v>296</v>
      </c>
    </row>
    <row r="17" spans="1:15">
      <c r="A17" s="28"/>
      <c r="B17" s="3" t="s">
        <v>30</v>
      </c>
      <c r="C17" s="4">
        <v>46272</v>
      </c>
      <c r="D17" s="5">
        <v>1200</v>
      </c>
      <c r="E17" s="45">
        <v>1200</v>
      </c>
      <c r="F17" s="45">
        <f t="shared" si="0"/>
        <v>0</v>
      </c>
      <c r="G17" s="29"/>
      <c r="H17" s="6">
        <f>IF(G16=0,0,D17/G16)</f>
        <v>150</v>
      </c>
      <c r="I17" s="30"/>
      <c r="J17" s="49"/>
      <c r="K17" s="31"/>
      <c r="L17" s="31"/>
      <c r="M17" s="5">
        <v>0.81</v>
      </c>
      <c r="N17" s="6">
        <f>2.52/M17*L16</f>
        <v>115.1111111111111</v>
      </c>
      <c r="O17" s="7"/>
    </row>
    <row r="18" spans="1:15">
      <c r="A18" s="28" t="s">
        <v>31</v>
      </c>
      <c r="B18" s="3" t="s">
        <v>32</v>
      </c>
      <c r="C18" s="4">
        <v>46219</v>
      </c>
      <c r="D18" s="5">
        <v>36</v>
      </c>
      <c r="E18" s="45">
        <v>36</v>
      </c>
      <c r="F18" s="45">
        <f t="shared" si="0"/>
        <v>0</v>
      </c>
      <c r="G18" s="29">
        <v>8</v>
      </c>
      <c r="H18" s="6">
        <f>IF(G18=0,0,D18/G18)</f>
        <v>4.5</v>
      </c>
      <c r="I18" s="30">
        <f>IF(G18=0,0,SUMPRODUCT(H18:H20,M18:M20)/(L18*2.52))</f>
        <v>0.58382936507936511</v>
      </c>
      <c r="J18" s="48">
        <v>1</v>
      </c>
      <c r="K18" s="31">
        <f>I18*L18*G18</f>
        <v>168.14285714285717</v>
      </c>
      <c r="L18" s="31">
        <v>36</v>
      </c>
      <c r="M18" s="5">
        <v>0.85</v>
      </c>
      <c r="N18" s="6">
        <f>2.52/M18*L18</f>
        <v>106.72941176470589</v>
      </c>
      <c r="O18" s="7">
        <f>G18*L18</f>
        <v>288</v>
      </c>
    </row>
    <row r="19" spans="1:15">
      <c r="A19" s="28"/>
      <c r="B19" s="3" t="s">
        <v>23</v>
      </c>
      <c r="C19" s="4">
        <v>46280</v>
      </c>
      <c r="D19" s="5">
        <v>252</v>
      </c>
      <c r="E19" s="45">
        <v>274</v>
      </c>
      <c r="F19" s="45">
        <f t="shared" si="0"/>
        <v>-22</v>
      </c>
      <c r="G19" s="29"/>
      <c r="H19" s="6">
        <f>IF(G18=0,0,D19/G18)</f>
        <v>31.5</v>
      </c>
      <c r="I19" s="30"/>
      <c r="J19" s="50"/>
      <c r="K19" s="31"/>
      <c r="L19" s="31"/>
      <c r="M19" s="5">
        <v>1.56</v>
      </c>
      <c r="N19" s="6">
        <f>2.52/M19*L18</f>
        <v>58.153846153846153</v>
      </c>
      <c r="O19" s="7"/>
    </row>
    <row r="20" spans="1:15">
      <c r="A20" s="28"/>
      <c r="B20" s="3" t="s">
        <v>23</v>
      </c>
      <c r="C20" s="4">
        <v>46280</v>
      </c>
      <c r="D20" s="5">
        <v>0</v>
      </c>
      <c r="E20" s="45">
        <v>0</v>
      </c>
      <c r="F20" s="45">
        <f t="shared" si="0"/>
        <v>0</v>
      </c>
      <c r="G20" s="29"/>
      <c r="H20" s="6">
        <f>IF(G18=0,0,D20/G18)</f>
        <v>0</v>
      </c>
      <c r="I20" s="30"/>
      <c r="J20" s="49"/>
      <c r="K20" s="31"/>
      <c r="L20" s="31"/>
      <c r="M20" s="5">
        <v>1.72</v>
      </c>
      <c r="N20" s="6">
        <f>2.52/M20*L18</f>
        <v>52.744186046511629</v>
      </c>
      <c r="O20" s="7"/>
    </row>
    <row r="21" spans="1:15">
      <c r="A21" s="8" t="s">
        <v>33</v>
      </c>
      <c r="B21" s="3" t="s">
        <v>34</v>
      </c>
      <c r="C21" s="4">
        <v>46240</v>
      </c>
      <c r="D21" s="5">
        <v>664</v>
      </c>
      <c r="E21" s="45">
        <v>670</v>
      </c>
      <c r="F21" s="45">
        <f t="shared" si="0"/>
        <v>-6</v>
      </c>
      <c r="G21" s="9">
        <v>9</v>
      </c>
      <c r="H21" s="6">
        <f>IF(G21=0,0,D21/G21)</f>
        <v>73.777777777777771</v>
      </c>
      <c r="I21" s="10">
        <f>IF(G21=0,0,SUMPRODUCT(H21:H21,M21:M21)/(L21*2.52))</f>
        <v>1.4150499706055262</v>
      </c>
      <c r="J21" s="10">
        <v>1.5</v>
      </c>
      <c r="K21" s="11">
        <f>I21*L21*G21</f>
        <v>458.47619047619048</v>
      </c>
      <c r="L21" s="11">
        <v>36</v>
      </c>
      <c r="M21" s="5">
        <v>1.74</v>
      </c>
      <c r="N21" s="6">
        <f>2.52/M21*L21</f>
        <v>52.137931034482762</v>
      </c>
      <c r="O21" s="7">
        <f>G21*L21</f>
        <v>324</v>
      </c>
    </row>
    <row r="22" spans="1:15">
      <c r="A22" s="8" t="s">
        <v>35</v>
      </c>
      <c r="B22" s="3" t="s">
        <v>36</v>
      </c>
      <c r="C22" s="4">
        <v>46267</v>
      </c>
      <c r="D22" s="5">
        <v>1517</v>
      </c>
      <c r="E22" s="45">
        <v>1510</v>
      </c>
      <c r="F22" s="45">
        <f t="shared" si="0"/>
        <v>7</v>
      </c>
      <c r="G22" s="9">
        <v>9</v>
      </c>
      <c r="H22" s="6">
        <f>IF(G22=0,0,D22/G22)</f>
        <v>168.55555555555554</v>
      </c>
      <c r="I22" s="10">
        <f>IF(G22=0,0,SUMPRODUCT(H22:H22,M22:M22)/(L22*2.52))</f>
        <v>1.3553443794671862</v>
      </c>
      <c r="J22" s="10">
        <v>1.4</v>
      </c>
      <c r="K22" s="11">
        <f>I22*L22*G22</f>
        <v>463.52777777777766</v>
      </c>
      <c r="L22" s="11">
        <v>38</v>
      </c>
      <c r="M22" s="5">
        <v>0.77</v>
      </c>
      <c r="N22" s="6">
        <f>2.52/M22*L22</f>
        <v>124.36363636363636</v>
      </c>
      <c r="O22" s="7">
        <f>G22*L22</f>
        <v>342</v>
      </c>
    </row>
    <row r="23" spans="1:15">
      <c r="A23" s="28" t="s">
        <v>37</v>
      </c>
      <c r="B23" s="3" t="s">
        <v>23</v>
      </c>
      <c r="C23" s="4">
        <v>46274</v>
      </c>
      <c r="D23" s="5">
        <v>373</v>
      </c>
      <c r="E23" s="46">
        <v>618</v>
      </c>
      <c r="F23" s="46">
        <f>D23+D24-E23</f>
        <v>-71</v>
      </c>
      <c r="G23" s="29">
        <v>9</v>
      </c>
      <c r="H23" s="6">
        <f>IF(G23=0,0,D23/G23)</f>
        <v>41.444444444444443</v>
      </c>
      <c r="I23" s="30">
        <f>IF(G23=0,0,SUMPRODUCT(H23:H24,M23:M24)/(L23*2.52))</f>
        <v>1.05005005005005</v>
      </c>
      <c r="J23" s="48">
        <v>1.2</v>
      </c>
      <c r="K23" s="31">
        <f>I23*L23*G23</f>
        <v>349.66666666666663</v>
      </c>
      <c r="L23" s="31">
        <v>37</v>
      </c>
      <c r="M23" s="5">
        <v>1.56</v>
      </c>
      <c r="N23" s="6">
        <f>2.52/M23*L23</f>
        <v>59.769230769230774</v>
      </c>
      <c r="O23" s="7">
        <f>G23*L23</f>
        <v>333</v>
      </c>
    </row>
    <row r="24" spans="1:15">
      <c r="A24" s="28"/>
      <c r="B24" s="3" t="s">
        <v>23</v>
      </c>
      <c r="C24" s="4">
        <v>46274</v>
      </c>
      <c r="D24" s="5">
        <v>174</v>
      </c>
      <c r="E24" s="47"/>
      <c r="F24" s="47"/>
      <c r="G24" s="29"/>
      <c r="H24" s="6">
        <f>IF(G23=0,0,D24/G23)</f>
        <v>19.333333333333332</v>
      </c>
      <c r="I24" s="30"/>
      <c r="J24" s="49"/>
      <c r="K24" s="31"/>
      <c r="L24" s="31"/>
      <c r="M24" s="5">
        <v>1.72</v>
      </c>
      <c r="N24" s="6">
        <f>2.52/M24*L23</f>
        <v>54.20930232558139</v>
      </c>
      <c r="O24" s="7"/>
    </row>
    <row r="25" spans="1:15">
      <c r="A25" s="28" t="s">
        <v>38</v>
      </c>
      <c r="B25" s="3" t="s">
        <v>39</v>
      </c>
      <c r="C25" s="4">
        <v>46235</v>
      </c>
      <c r="D25" s="5">
        <v>153</v>
      </c>
      <c r="E25" s="45">
        <v>151</v>
      </c>
      <c r="F25" s="45">
        <f t="shared" si="0"/>
        <v>2</v>
      </c>
      <c r="G25" s="29">
        <v>8</v>
      </c>
      <c r="H25" s="6">
        <f>IF(G25=0,0,D25/G25)</f>
        <v>19.125</v>
      </c>
      <c r="I25" s="30">
        <f>IF(G25=0,0,SUMPRODUCT(H25:H28,M25:M28)/(L25*2.52))</f>
        <v>0.87197018447018448</v>
      </c>
      <c r="J25" s="48">
        <v>1</v>
      </c>
      <c r="K25" s="31">
        <f>I25*L25*G25</f>
        <v>258.10317460317458</v>
      </c>
      <c r="L25" s="31">
        <v>37</v>
      </c>
      <c r="M25" s="5">
        <v>1.1599999999999999</v>
      </c>
      <c r="N25" s="6">
        <f>2.52/M25*L25</f>
        <v>80.379310344827587</v>
      </c>
      <c r="O25" s="7">
        <f>G25*L25</f>
        <v>296</v>
      </c>
    </row>
    <row r="26" spans="1:15">
      <c r="A26" s="28"/>
      <c r="B26" s="3" t="s">
        <v>40</v>
      </c>
      <c r="C26" s="4">
        <v>46268</v>
      </c>
      <c r="D26" s="5">
        <v>7</v>
      </c>
      <c r="E26" s="45">
        <v>7</v>
      </c>
      <c r="F26" s="45">
        <f t="shared" si="0"/>
        <v>0</v>
      </c>
      <c r="G26" s="29"/>
      <c r="H26" s="6">
        <f>IF(G25=0,0,D26/G25)</f>
        <v>0.875</v>
      </c>
      <c r="I26" s="30"/>
      <c r="J26" s="50"/>
      <c r="K26" s="31"/>
      <c r="L26" s="31"/>
      <c r="M26" s="5">
        <v>1.1599999999999999</v>
      </c>
      <c r="N26" s="6">
        <f>2.52/M26*L25</f>
        <v>80.379310344827587</v>
      </c>
      <c r="O26" s="7"/>
    </row>
    <row r="27" spans="1:15">
      <c r="A27" s="28"/>
      <c r="B27" s="3" t="s">
        <v>41</v>
      </c>
      <c r="C27" s="4">
        <v>46273</v>
      </c>
      <c r="D27" s="5">
        <v>381</v>
      </c>
      <c r="E27" s="45">
        <v>381</v>
      </c>
      <c r="F27" s="45">
        <f t="shared" si="0"/>
        <v>0</v>
      </c>
      <c r="G27" s="29"/>
      <c r="H27" s="6">
        <f>IF(G25=0,0,D27/G25)</f>
        <v>47.625</v>
      </c>
      <c r="I27" s="30"/>
      <c r="J27" s="50"/>
      <c r="K27" s="31"/>
      <c r="L27" s="31"/>
      <c r="M27" s="5">
        <v>1.22</v>
      </c>
      <c r="N27" s="6">
        <f>2.52/M27*L25</f>
        <v>76.426229508196727</v>
      </c>
      <c r="O27" s="7"/>
    </row>
    <row r="28" spans="1:15">
      <c r="A28" s="28"/>
      <c r="B28" s="3" t="s">
        <v>17</v>
      </c>
      <c r="C28" s="4">
        <v>46281</v>
      </c>
      <c r="D28" s="5">
        <v>0</v>
      </c>
      <c r="E28" s="45">
        <v>0</v>
      </c>
      <c r="F28" s="45">
        <f t="shared" si="0"/>
        <v>0</v>
      </c>
      <c r="G28" s="29"/>
      <c r="H28" s="6">
        <f>IF(G25=0,0,D28/G25)</f>
        <v>0</v>
      </c>
      <c r="I28" s="30"/>
      <c r="J28" s="49"/>
      <c r="K28" s="31"/>
      <c r="L28" s="31"/>
      <c r="M28" s="5">
        <v>1.37</v>
      </c>
      <c r="N28" s="6">
        <f>2.52/M28*L25</f>
        <v>68.058394160583944</v>
      </c>
      <c r="O28" s="7"/>
    </row>
    <row r="29" spans="1:15">
      <c r="A29" s="8" t="s">
        <v>42</v>
      </c>
      <c r="B29" s="3" t="s">
        <v>21</v>
      </c>
      <c r="C29" s="4">
        <v>46255</v>
      </c>
      <c r="D29" s="5">
        <v>1700</v>
      </c>
      <c r="E29" s="45">
        <v>1700</v>
      </c>
      <c r="F29" s="45">
        <f t="shared" si="0"/>
        <v>0</v>
      </c>
      <c r="G29" s="9">
        <v>9</v>
      </c>
      <c r="H29" s="6">
        <f>IF(G29=0,0,D29/G29)</f>
        <v>188.88888888888889</v>
      </c>
      <c r="I29" s="10">
        <f>IF(G29=0,0,SUMPRODUCT(H29:H29,M29:M29)/(L29*2.52))</f>
        <v>1.7624767624767628</v>
      </c>
      <c r="J29" s="10">
        <v>1.6</v>
      </c>
      <c r="K29" s="11">
        <f>I29*L29*G29</f>
        <v>586.90476190476193</v>
      </c>
      <c r="L29" s="11">
        <v>37</v>
      </c>
      <c r="M29" s="5">
        <v>0.87</v>
      </c>
      <c r="N29" s="6">
        <f>2.52/M29*L29</f>
        <v>107.17241379310344</v>
      </c>
      <c r="O29" s="7">
        <f>G29*L29</f>
        <v>333</v>
      </c>
    </row>
    <row r="30" spans="1:15">
      <c r="A30" s="8" t="s">
        <v>43</v>
      </c>
      <c r="B30" s="3" t="s">
        <v>19</v>
      </c>
      <c r="C30" s="4">
        <v>46209</v>
      </c>
      <c r="D30" s="5">
        <v>1168</v>
      </c>
      <c r="E30" s="45">
        <v>1161</v>
      </c>
      <c r="F30" s="45">
        <f t="shared" si="0"/>
        <v>7</v>
      </c>
      <c r="G30" s="9">
        <v>9</v>
      </c>
      <c r="H30" s="6">
        <f>IF(G30=0,0,D30/G30)</f>
        <v>129.77777777777777</v>
      </c>
      <c r="I30" s="10">
        <f>IF(G30=0,0,SUMPRODUCT(H30:H30,M30:M30)/(L30*2.52))</f>
        <v>1.8094284760951429</v>
      </c>
      <c r="J30" s="10">
        <v>1.4</v>
      </c>
      <c r="K30" s="11">
        <f>I30*L30*G30</f>
        <v>602.53968253968264</v>
      </c>
      <c r="L30" s="11">
        <v>37</v>
      </c>
      <c r="M30" s="5">
        <v>1.3</v>
      </c>
      <c r="N30" s="6">
        <f>2.52/M30*L30</f>
        <v>71.723076923076917</v>
      </c>
      <c r="O30" s="7">
        <f>G30*L30</f>
        <v>333</v>
      </c>
    </row>
    <row r="31" spans="1:15">
      <c r="A31" s="28" t="s">
        <v>44</v>
      </c>
      <c r="B31" s="3" t="s">
        <v>23</v>
      </c>
      <c r="C31" s="4">
        <v>46275</v>
      </c>
      <c r="D31" s="5">
        <v>377</v>
      </c>
      <c r="E31" s="46">
        <v>400</v>
      </c>
      <c r="F31" s="46">
        <f>D31+D32-E31</f>
        <v>13</v>
      </c>
      <c r="G31" s="29">
        <v>8</v>
      </c>
      <c r="H31" s="6">
        <f>IF(G31=0,0,D31/G31)</f>
        <v>47.125</v>
      </c>
      <c r="I31" s="30">
        <f>IF(G31=0,0,SUMPRODUCT(H31:H32,M31:M32)/(L31*2.52))</f>
        <v>0.92125850340136051</v>
      </c>
      <c r="J31" s="48">
        <v>1</v>
      </c>
      <c r="K31" s="31">
        <f>I31*L31*G31</f>
        <v>257.95238095238096</v>
      </c>
      <c r="L31" s="31">
        <v>35</v>
      </c>
      <c r="M31" s="5">
        <v>1.56</v>
      </c>
      <c r="N31" s="6">
        <f>2.52/M31*L31</f>
        <v>56.53846153846154</v>
      </c>
      <c r="O31" s="7">
        <f>G31*L31</f>
        <v>280</v>
      </c>
    </row>
    <row r="32" spans="1:15">
      <c r="A32" s="28"/>
      <c r="B32" s="3" t="s">
        <v>23</v>
      </c>
      <c r="C32" s="4">
        <v>46275</v>
      </c>
      <c r="D32" s="5">
        <v>36</v>
      </c>
      <c r="E32" s="47"/>
      <c r="F32" s="47"/>
      <c r="G32" s="29"/>
      <c r="H32" s="6">
        <f>IF(G31=0,0,D32/G31)</f>
        <v>4.5</v>
      </c>
      <c r="I32" s="30"/>
      <c r="J32" s="49"/>
      <c r="K32" s="31"/>
      <c r="L32" s="31"/>
      <c r="M32" s="5">
        <v>1.72</v>
      </c>
      <c r="N32" s="6">
        <f>2.52/M32*L31</f>
        <v>51.279069767441861</v>
      </c>
      <c r="O32" s="7"/>
    </row>
    <row r="33" spans="1:15">
      <c r="A33" s="8" t="s">
        <v>45</v>
      </c>
      <c r="B33" s="3" t="s">
        <v>46</v>
      </c>
      <c r="C33" s="4">
        <v>46253</v>
      </c>
      <c r="D33" s="5">
        <v>1797</v>
      </c>
      <c r="E33" s="45">
        <v>1800</v>
      </c>
      <c r="F33" s="45">
        <f t="shared" si="0"/>
        <v>-3</v>
      </c>
      <c r="G33" s="9">
        <v>9</v>
      </c>
      <c r="H33" s="6">
        <f>IF(G33=0,0,D33/G33)</f>
        <v>199.66666666666666</v>
      </c>
      <c r="I33" s="10">
        <f>IF(G33=0,0,SUMPRODUCT(H33:H33,M33:M33)/(L33*2.52))</f>
        <v>1.7387198706643152</v>
      </c>
      <c r="J33" s="10">
        <v>1.7</v>
      </c>
      <c r="K33" s="11">
        <f>I33*L33*G33</f>
        <v>563.34523809523819</v>
      </c>
      <c r="L33" s="11">
        <v>36</v>
      </c>
      <c r="M33" s="5">
        <v>0.79</v>
      </c>
      <c r="N33" s="6">
        <f>2.52/M33*L33</f>
        <v>114.83544303797467</v>
      </c>
      <c r="O33" s="7">
        <f>G33*L33</f>
        <v>324</v>
      </c>
    </row>
    <row r="34" spans="1:15">
      <c r="A34" s="8" t="s">
        <v>47</v>
      </c>
      <c r="B34" s="3" t="s">
        <v>17</v>
      </c>
      <c r="C34" s="4">
        <v>46280</v>
      </c>
      <c r="D34" s="5">
        <v>645</v>
      </c>
      <c r="E34" s="45">
        <v>645</v>
      </c>
      <c r="F34" s="45">
        <f t="shared" si="0"/>
        <v>0</v>
      </c>
      <c r="G34" s="9">
        <v>8</v>
      </c>
      <c r="H34" s="6">
        <f>IF(G34=0,0,D34/G34)</f>
        <v>80.625</v>
      </c>
      <c r="I34" s="10">
        <f>IF(G34=0,0,SUMPRODUCT(H34:H34,M34:M34)/(L34*2.52))</f>
        <v>1.2523384353741498</v>
      </c>
      <c r="J34" s="10">
        <v>1.3</v>
      </c>
      <c r="K34" s="11">
        <f>I34*L34*G34</f>
        <v>350.65476190476193</v>
      </c>
      <c r="L34" s="11">
        <v>35</v>
      </c>
      <c r="M34" s="5">
        <v>1.37</v>
      </c>
      <c r="N34" s="6">
        <f>2.52/M34*L34</f>
        <v>64.379562043795616</v>
      </c>
      <c r="O34" s="7">
        <f>G34*L34</f>
        <v>280</v>
      </c>
    </row>
    <row r="35" spans="1:15">
      <c r="A35" s="8" t="s">
        <v>48</v>
      </c>
      <c r="B35" s="3" t="s">
        <v>30</v>
      </c>
      <c r="C35" s="4">
        <v>46268</v>
      </c>
      <c r="D35" s="5">
        <v>1234</v>
      </c>
      <c r="E35" s="45">
        <v>1229</v>
      </c>
      <c r="F35" s="45">
        <f t="shared" si="0"/>
        <v>5</v>
      </c>
      <c r="G35" s="9">
        <v>8</v>
      </c>
      <c r="H35" s="6">
        <f>IF(G35=0,0,D35/G35)</f>
        <v>154.25</v>
      </c>
      <c r="I35" s="10">
        <f>IF(G35=0,0,SUMPRODUCT(H35:H35,M35:M35)/(L35*2.52))</f>
        <v>1.4165816326530614</v>
      </c>
      <c r="J35" s="10">
        <v>1.25</v>
      </c>
      <c r="K35" s="11">
        <f>I35*L35*G35</f>
        <v>396.64285714285717</v>
      </c>
      <c r="L35" s="11">
        <v>35</v>
      </c>
      <c r="M35" s="5">
        <v>0.81</v>
      </c>
      <c r="N35" s="6">
        <f>2.52/M35*L35</f>
        <v>108.88888888888887</v>
      </c>
      <c r="O35" s="7">
        <f>G35*L35</f>
        <v>280</v>
      </c>
    </row>
    <row r="36" spans="1:15">
      <c r="A36" s="8" t="s">
        <v>49</v>
      </c>
      <c r="B36" s="3" t="s">
        <v>14</v>
      </c>
      <c r="C36" s="4">
        <v>46274</v>
      </c>
      <c r="D36" s="5">
        <v>1382</v>
      </c>
      <c r="E36" s="45">
        <v>1382</v>
      </c>
      <c r="F36" s="45">
        <f t="shared" si="0"/>
        <v>0</v>
      </c>
      <c r="G36" s="9">
        <v>9</v>
      </c>
      <c r="H36" s="6">
        <f>IF(G36=0,0,D36/G36)</f>
        <v>153.55555555555554</v>
      </c>
      <c r="I36" s="10">
        <f>IF(G36=0,0,SUMPRODUCT(H36:H36,M36:M36)/(L36*2.52))</f>
        <v>1.2828367214332126</v>
      </c>
      <c r="J36" s="10">
        <v>1.2</v>
      </c>
      <c r="K36" s="11">
        <f>I36*L36*G36</f>
        <v>438.73015873015868</v>
      </c>
      <c r="L36" s="11">
        <v>38</v>
      </c>
      <c r="M36" s="5">
        <v>0.8</v>
      </c>
      <c r="N36" s="6">
        <f>2.52/M36*L36</f>
        <v>119.7</v>
      </c>
      <c r="O36" s="7">
        <f>G36*L36</f>
        <v>342</v>
      </c>
    </row>
    <row r="37" spans="1:15">
      <c r="A37" s="8" t="s">
        <v>50</v>
      </c>
      <c r="B37" s="3" t="s">
        <v>51</v>
      </c>
      <c r="C37" s="4">
        <v>46272</v>
      </c>
      <c r="D37" s="5">
        <v>722</v>
      </c>
      <c r="E37" s="45">
        <v>718</v>
      </c>
      <c r="F37" s="45">
        <f t="shared" si="0"/>
        <v>4</v>
      </c>
      <c r="G37" s="9">
        <v>9</v>
      </c>
      <c r="H37" s="6">
        <f>IF(G37=0,0,D37/G37)</f>
        <v>80.222222222222229</v>
      </c>
      <c r="I37" s="10">
        <f>IF(G37=0,0,SUMPRODUCT(H37:H37,M37:M37)/(L37*2.52))</f>
        <v>1.1917424139646362</v>
      </c>
      <c r="J37" s="10">
        <v>1.2</v>
      </c>
      <c r="K37" s="11">
        <f>I37*L37*G37</f>
        <v>418.30158730158729</v>
      </c>
      <c r="L37" s="11">
        <v>39</v>
      </c>
      <c r="M37" s="5">
        <v>1.46</v>
      </c>
      <c r="N37" s="6">
        <f>2.52/M37*L37</f>
        <v>67.31506849315069</v>
      </c>
      <c r="O37" s="7">
        <f>G37*L37</f>
        <v>351</v>
      </c>
    </row>
    <row r="38" spans="1:15">
      <c r="A38" s="32" t="s">
        <v>52</v>
      </c>
      <c r="B38" s="33"/>
      <c r="C38" s="34"/>
      <c r="D38" s="12">
        <f>SUM(D5:D37)</f>
        <v>18714</v>
      </c>
      <c r="E38" s="12">
        <f>SUM(E5:E37)</f>
        <v>18852</v>
      </c>
      <c r="F38" s="12">
        <f>F6+F7+F8+F9+F19+F21+F23+F33</f>
        <v>-194</v>
      </c>
      <c r="G38" s="13">
        <f>SUM(G5:G37)</f>
        <v>171</v>
      </c>
      <c r="H38" s="14"/>
      <c r="I38" s="15">
        <f>SUM(K5:K37)/O38</f>
        <v>1.2758810063358461</v>
      </c>
      <c r="J38" s="15"/>
      <c r="K38" s="12"/>
      <c r="L38" s="12">
        <f>SUM(L5:L37)</f>
        <v>722</v>
      </c>
      <c r="M38" s="12"/>
      <c r="N38" s="14"/>
      <c r="O38" s="16">
        <f>SUM(O5:O37)</f>
        <v>6178</v>
      </c>
    </row>
    <row r="39" spans="1:15">
      <c r="A39" s="17"/>
      <c r="B39" s="5"/>
      <c r="C39" s="4"/>
      <c r="D39" s="5"/>
      <c r="E39" s="5"/>
      <c r="F39" s="5"/>
      <c r="G39" s="18"/>
      <c r="H39" s="6"/>
      <c r="I39" s="19"/>
      <c r="J39" s="19"/>
      <c r="K39" s="5"/>
      <c r="L39" s="5"/>
      <c r="M39" s="5"/>
      <c r="N39" s="6"/>
      <c r="O39" s="7"/>
    </row>
    <row r="40" spans="1:15" ht="13.5" thickBot="1">
      <c r="A40" s="25" t="s">
        <v>53</v>
      </c>
      <c r="B40" s="26"/>
      <c r="C40" s="27"/>
      <c r="D40" s="20">
        <f>SUMIF(A5:A39, "&lt;&gt;Summary", D5:D39)</f>
        <v>18714</v>
      </c>
      <c r="E40" s="20"/>
      <c r="F40" s="20"/>
      <c r="G40" s="21">
        <f>SUMIF(A5:A39, "&lt;&gt;Summary", G5:G39)</f>
        <v>171</v>
      </c>
      <c r="H40" s="22"/>
      <c r="I40" s="23">
        <f>SUMIF(A5:A39, "&lt;&gt;Summary", K5:K39)/O40</f>
        <v>1.2758810063358461</v>
      </c>
      <c r="J40" s="23"/>
      <c r="K40" s="20"/>
      <c r="L40" s="20">
        <f>SUMIF(A5:A39, "&lt;&gt;Summary", L5:L39)</f>
        <v>722</v>
      </c>
      <c r="M40" s="20"/>
      <c r="N40" s="22"/>
      <c r="O40" s="24">
        <f>SUMIF(A5:A39, "&lt;&gt;Summary", O5:O39)</f>
        <v>6178</v>
      </c>
    </row>
    <row r="41" spans="1:15" ht="13.5" thickTop="1"/>
    <row r="42" spans="1:15">
      <c r="C42" s="41" t="s">
        <v>54</v>
      </c>
      <c r="D42" s="42">
        <f>SUM(K5:K14)/SUM(O5:O14)</f>
        <v>1.3265774629410994</v>
      </c>
      <c r="E42" s="42"/>
      <c r="F42" s="42"/>
    </row>
    <row r="43" spans="1:15">
      <c r="C43" s="41" t="s">
        <v>55</v>
      </c>
      <c r="D43" s="42">
        <f>SUM(K15:K22)/SUM(O15:O22)</f>
        <v>1.101245940985458</v>
      </c>
      <c r="E43" s="42"/>
      <c r="F43" s="42"/>
    </row>
    <row r="44" spans="1:15">
      <c r="C44" s="41" t="s">
        <v>56</v>
      </c>
      <c r="D44" s="42">
        <f>SUM(K23:K32)/SUM(O23:O32)</f>
        <v>1.304867724867725</v>
      </c>
      <c r="E44" s="42"/>
      <c r="F44" s="42"/>
    </row>
    <row r="45" spans="1:15">
      <c r="C45" s="41" t="s">
        <v>57</v>
      </c>
      <c r="D45" s="42">
        <f>SUM(K33:K37)/SUM(O33:O37)</f>
        <v>1.3745558675805982</v>
      </c>
      <c r="E45" s="42"/>
      <c r="F45" s="42"/>
    </row>
  </sheetData>
  <mergeCells count="65">
    <mergeCell ref="J23:J24"/>
    <mergeCell ref="J25:J28"/>
    <mergeCell ref="J31:J32"/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0:A14"/>
    <mergeCell ref="G10:G14"/>
    <mergeCell ref="I10:I14"/>
    <mergeCell ref="K10:K14"/>
    <mergeCell ref="L10:L14"/>
    <mergeCell ref="E12:E13"/>
    <mergeCell ref="F12:F13"/>
    <mergeCell ref="J10:J14"/>
    <mergeCell ref="A5:A6"/>
    <mergeCell ref="G5:G6"/>
    <mergeCell ref="I5:I6"/>
    <mergeCell ref="K5:K6"/>
    <mergeCell ref="L5:L6"/>
    <mergeCell ref="J5:J6"/>
    <mergeCell ref="A18:A20"/>
    <mergeCell ref="G18:G20"/>
    <mergeCell ref="I18:I20"/>
    <mergeCell ref="K18:K20"/>
    <mergeCell ref="L18:L20"/>
    <mergeCell ref="J18:J20"/>
    <mergeCell ref="A16:A17"/>
    <mergeCell ref="G16:G17"/>
    <mergeCell ref="I16:I17"/>
    <mergeCell ref="K16:K17"/>
    <mergeCell ref="L16:L17"/>
    <mergeCell ref="J16:J17"/>
    <mergeCell ref="L31:L32"/>
    <mergeCell ref="A38:C38"/>
    <mergeCell ref="A23:A24"/>
    <mergeCell ref="G23:G24"/>
    <mergeCell ref="I23:I24"/>
    <mergeCell ref="K23:K24"/>
    <mergeCell ref="L23:L24"/>
    <mergeCell ref="A25:A28"/>
    <mergeCell ref="G25:G28"/>
    <mergeCell ref="I25:I28"/>
    <mergeCell ref="K25:K28"/>
    <mergeCell ref="L25:L28"/>
    <mergeCell ref="E23:E24"/>
    <mergeCell ref="F23:F24"/>
    <mergeCell ref="E31:E32"/>
    <mergeCell ref="F31:F32"/>
    <mergeCell ref="A40:C40"/>
    <mergeCell ref="A31:A32"/>
    <mergeCell ref="G31:G32"/>
    <mergeCell ref="I31:I32"/>
    <mergeCell ref="K31:K32"/>
  </mergeCells>
  <printOptions horizontalCentered="1"/>
  <pageMargins left="0.2" right="0.2" top="1" bottom="0.2" header="0.2" footer="0.2"/>
  <pageSetup paperSize="9" scale="73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2026-09-18T01:00:15Z</cp:lastPrinted>
  <dcterms:created xsi:type="dcterms:W3CDTF">2026-09-18T00:40:58Z</dcterms:created>
  <dcterms:modified xsi:type="dcterms:W3CDTF">2026-09-18T01:00:16Z</dcterms:modified>
</cp:coreProperties>
</file>