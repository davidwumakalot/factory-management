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J34" i="1"/>
  <c r="E34"/>
  <c r="D34"/>
  <c r="J32"/>
  <c r="E32"/>
  <c r="D32"/>
  <c r="M31"/>
  <c r="G31"/>
  <c r="I31" s="1"/>
  <c r="L31"/>
  <c r="F31"/>
  <c r="M29"/>
  <c r="L30"/>
  <c r="F30"/>
  <c r="L29"/>
  <c r="F29"/>
  <c r="G29" s="1"/>
  <c r="I29" s="1"/>
  <c r="M28"/>
  <c r="G28"/>
  <c r="I28" s="1"/>
  <c r="L28"/>
  <c r="F28"/>
  <c r="M27"/>
  <c r="G27"/>
  <c r="I27" s="1"/>
  <c r="L27"/>
  <c r="F27"/>
  <c r="M26"/>
  <c r="L26"/>
  <c r="F26"/>
  <c r="G26" s="1"/>
  <c r="I26" s="1"/>
  <c r="D39" s="1"/>
  <c r="M25"/>
  <c r="L25"/>
  <c r="F25"/>
  <c r="G25" s="1"/>
  <c r="I25" s="1"/>
  <c r="M24"/>
  <c r="G24"/>
  <c r="I24" s="1"/>
  <c r="L24"/>
  <c r="F24"/>
  <c r="M23"/>
  <c r="G23"/>
  <c r="I23" s="1"/>
  <c r="L23"/>
  <c r="F23"/>
  <c r="M20"/>
  <c r="L22"/>
  <c r="F22"/>
  <c r="L21"/>
  <c r="F21"/>
  <c r="L20"/>
  <c r="F20"/>
  <c r="M18"/>
  <c r="L19"/>
  <c r="F19"/>
  <c r="L18"/>
  <c r="F18"/>
  <c r="M17"/>
  <c r="L17"/>
  <c r="F17"/>
  <c r="G17" s="1"/>
  <c r="I17" s="1"/>
  <c r="M15"/>
  <c r="L16"/>
  <c r="F16"/>
  <c r="L15"/>
  <c r="F15"/>
  <c r="G15" s="1"/>
  <c r="I15" s="1"/>
  <c r="M14"/>
  <c r="L14"/>
  <c r="F14"/>
  <c r="G14" s="1"/>
  <c r="I14" s="1"/>
  <c r="M13"/>
  <c r="L13"/>
  <c r="F13"/>
  <c r="G13" s="1"/>
  <c r="I13" s="1"/>
  <c r="M12"/>
  <c r="I12"/>
  <c r="G12"/>
  <c r="L12"/>
  <c r="F12"/>
  <c r="M11"/>
  <c r="G11"/>
  <c r="I11" s="1"/>
  <c r="L11"/>
  <c r="F11"/>
  <c r="M10"/>
  <c r="L10"/>
  <c r="F10"/>
  <c r="G10" s="1"/>
  <c r="I10" s="1"/>
  <c r="M8"/>
  <c r="L9"/>
  <c r="F9"/>
  <c r="L8"/>
  <c r="F8"/>
  <c r="G8" s="1"/>
  <c r="I8" s="1"/>
  <c r="M7"/>
  <c r="L7"/>
  <c r="F7"/>
  <c r="G7" s="1"/>
  <c r="I7" s="1"/>
  <c r="M5"/>
  <c r="L6"/>
  <c r="F6"/>
  <c r="L5"/>
  <c r="F5"/>
  <c r="G5" s="1"/>
  <c r="I5" s="1"/>
  <c r="D36" l="1"/>
  <c r="G20"/>
  <c r="I20" s="1"/>
  <c r="D37"/>
  <c r="G18"/>
  <c r="I18" s="1"/>
  <c r="D38" s="1"/>
  <c r="M34"/>
  <c r="G34" s="1"/>
  <c r="M32"/>
  <c r="G32" s="1"/>
</calcChain>
</file>

<file path=xl/sharedStrings.xml><?xml version="1.0" encoding="utf-8"?>
<sst xmlns="http://schemas.openxmlformats.org/spreadsheetml/2006/main" count="67" uniqueCount="57">
  <si>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</si>
  <si>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</si>
  <si>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</si>
  <si>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</si>
  <si>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</si>
  <si>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</si>
  <si>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</si>
  <si>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</si>
  <si>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</si>
  <si>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</si>
  <si>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</si>
  <si>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</si>
  <si>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</si>
  <si>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</si>
  <si>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DAB14127_Q426</t>
  </si>
  <si>
    <t>MX6FJ409_HO26</t>
  </si>
  <si>
    <t>5-02</t>
  </si>
  <si>
    <t>K86W2L_C426IND</t>
  </si>
  <si>
    <t>5-03</t>
  </si>
  <si>
    <t>319260005</t>
  </si>
  <si>
    <t>319260007</t>
  </si>
  <si>
    <t>5-04</t>
  </si>
  <si>
    <t>5-05</t>
  </si>
  <si>
    <t>W98Z8Z_C426IND</t>
  </si>
  <si>
    <t>5-06</t>
  </si>
  <si>
    <t>5-07</t>
  </si>
  <si>
    <t>K881_FA26</t>
  </si>
  <si>
    <t>5-08</t>
  </si>
  <si>
    <t>319260003</t>
  </si>
  <si>
    <t>5-09</t>
  </si>
  <si>
    <t>ZC6FR420R/P</t>
  </si>
  <si>
    <t>5-10</t>
  </si>
  <si>
    <t>ZS5FR410_FA26</t>
  </si>
  <si>
    <t>5-11</t>
  </si>
  <si>
    <t>L0R516_C426IND</t>
  </si>
  <si>
    <t>5-12</t>
  </si>
  <si>
    <t>9K4MX7_C426</t>
  </si>
  <si>
    <t>WRZ57M_C426</t>
  </si>
  <si>
    <t>1K62MR_C426</t>
  </si>
  <si>
    <t>5-13</t>
  </si>
  <si>
    <t>MX6FK108_HO26</t>
  </si>
  <si>
    <t>5-14</t>
  </si>
  <si>
    <t>K880_FA26</t>
  </si>
  <si>
    <t>5-15</t>
  </si>
  <si>
    <t>5-16</t>
  </si>
  <si>
    <t>5-17</t>
  </si>
  <si>
    <t>5-18</t>
  </si>
  <si>
    <t>5-19</t>
  </si>
  <si>
    <t>5-20</t>
  </si>
  <si>
    <t>WAX210_Q426</t>
  </si>
  <si>
    <t>Summary</t>
  </si>
  <si>
    <t>Grand Total</t>
  </si>
  <si>
    <t>LINE 1-5</t>
  </si>
  <si>
    <t>LINE 6-10</t>
  </si>
  <si>
    <t>LINE 11-15</t>
  </si>
  <si>
    <t>LINE 16-20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</si>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</sst>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tabSelected="1" workbookViewId="0">
      <pane ySplit="4" topLeftCell="A5" activePane="bottomLeft" state="frozen"/>
      <selection pane="bottomLeft" activeCell="E20" sqref="E20:E22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7" width="8.7109375" style="1" customWidth="1"/>
    <col min="8" max="8" width="12.7109375" style="1" hidden="1" customWidth="1"/>
    <col min="9" max="9" width="8.7109375" style="1" customWidth="1"/>
    <col min="10" max="16384" width="9.140625" style="1"/>
  </cols>
  <sheetData>
    <row r="1" spans="1:13">
      <c r="A1" s="1" t="s">
        <v>0</v>
      </c>
      <c r="B1" s="2">
        <v>46230</v>
      </c>
    </row>
    <row r="2" spans="1:13" ht="13.5" thickBot="1"/>
    <row r="3" spans="1:13" ht="13.5" thickTop="1">
      <c r="A3" s="29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3" t="s">
        <v>56</v>
      </c>
      <c r="I3" s="31" t="s">
        <v>8</v>
      </c>
      <c r="J3" s="31" t="s">
        <v>9</v>
      </c>
      <c r="K3" s="31" t="s">
        <v>10</v>
      </c>
      <c r="L3" s="31" t="s">
        <v>11</v>
      </c>
      <c r="M3" s="27" t="s">
        <v>12</v>
      </c>
    </row>
    <row r="4" spans="1:13">
      <c r="A4" s="30"/>
      <c r="B4" s="32"/>
      <c r="C4" s="32"/>
      <c r="D4" s="32"/>
      <c r="E4" s="32"/>
      <c r="F4" s="32"/>
      <c r="G4" s="32"/>
      <c r="H4" s="34"/>
      <c r="I4" s="32"/>
      <c r="J4" s="32"/>
      <c r="K4" s="32"/>
      <c r="L4" s="32"/>
      <c r="M4" s="28"/>
    </row>
    <row r="5" spans="1:13">
      <c r="A5" s="35" t="s">
        <v>13</v>
      </c>
      <c r="B5" s="3" t="s">
        <v>14</v>
      </c>
      <c r="C5" s="4">
        <v>46192</v>
      </c>
      <c r="D5" s="5">
        <v>97</v>
      </c>
      <c r="E5" s="36">
        <v>8</v>
      </c>
      <c r="F5" s="6">
        <f>IF(E5=0,0,D5/E5)</f>
        <v>12.125</v>
      </c>
      <c r="G5" s="37">
        <f>IF(E5=0,0,SUMPRODUCT(F5:F6,K5:K6)/(J5*2.52))</f>
        <v>1.4022281209781211</v>
      </c>
      <c r="H5" s="39">
        <v>1.27</v>
      </c>
      <c r="I5" s="38">
        <f>G5*J5*E5</f>
        <v>415.05952380952385</v>
      </c>
      <c r="J5" s="38">
        <v>37</v>
      </c>
      <c r="K5" s="5">
        <v>0.8</v>
      </c>
      <c r="L5" s="6">
        <f>2.52/K5*J5</f>
        <v>116.55</v>
      </c>
      <c r="M5" s="7">
        <f>E5*J5</f>
        <v>296</v>
      </c>
    </row>
    <row r="6" spans="1:13">
      <c r="A6" s="35"/>
      <c r="B6" s="3" t="s">
        <v>15</v>
      </c>
      <c r="C6" s="4">
        <v>46220</v>
      </c>
      <c r="D6" s="5">
        <v>535</v>
      </c>
      <c r="E6" s="36"/>
      <c r="F6" s="6">
        <f>IF(E5=0,0,D6/E5)</f>
        <v>66.875</v>
      </c>
      <c r="G6" s="37"/>
      <c r="H6" s="40"/>
      <c r="I6" s="38"/>
      <c r="J6" s="38"/>
      <c r="K6" s="5">
        <v>1.81</v>
      </c>
      <c r="L6" s="6">
        <f>2.52/K6*J5</f>
        <v>51.513812154696133</v>
      </c>
      <c r="M6" s="7"/>
    </row>
    <row r="7" spans="1:13">
      <c r="A7" s="8" t="s">
        <v>16</v>
      </c>
      <c r="B7" s="3" t="s">
        <v>17</v>
      </c>
      <c r="C7" s="4">
        <v>46198</v>
      </c>
      <c r="D7" s="5">
        <v>1529</v>
      </c>
      <c r="E7" s="9">
        <v>9</v>
      </c>
      <c r="F7" s="6">
        <f>IF(E7=0,0,D7/E7)</f>
        <v>169.88888888888889</v>
      </c>
      <c r="G7" s="10">
        <f>IF(E7=0,0,SUMPRODUCT(F7:F7,K7:K7)/(J7*2.52))</f>
        <v>1.5851923351923354</v>
      </c>
      <c r="H7" s="10">
        <v>1.6</v>
      </c>
      <c r="I7" s="11">
        <f>G7*J7*E7</f>
        <v>527.86904761904771</v>
      </c>
      <c r="J7" s="11">
        <v>37</v>
      </c>
      <c r="K7" s="5">
        <v>0.87</v>
      </c>
      <c r="L7" s="6">
        <f>2.52/K7*J7</f>
        <v>107.17241379310344</v>
      </c>
      <c r="M7" s="7">
        <f>E7*J7</f>
        <v>333</v>
      </c>
    </row>
    <row r="8" spans="1:13">
      <c r="A8" s="35" t="s">
        <v>18</v>
      </c>
      <c r="B8" s="3" t="s">
        <v>19</v>
      </c>
      <c r="C8" s="4">
        <v>46218</v>
      </c>
      <c r="D8" s="5">
        <v>529</v>
      </c>
      <c r="E8" s="36">
        <v>8</v>
      </c>
      <c r="F8" s="6">
        <f>IF(E8=0,0,D8/E8)</f>
        <v>66.125</v>
      </c>
      <c r="G8" s="37">
        <f>IF(E8=0,0,SUMPRODUCT(F8:F9,K8:K9)/(J8*2.52))</f>
        <v>1.2644841269841269</v>
      </c>
      <c r="H8" s="39">
        <v>1.1000000000000001</v>
      </c>
      <c r="I8" s="38">
        <f>G8*J8*E8</f>
        <v>354.05555555555554</v>
      </c>
      <c r="J8" s="38">
        <v>35</v>
      </c>
      <c r="K8" s="5">
        <v>0.88</v>
      </c>
      <c r="L8" s="6">
        <f>2.52/K8*J8</f>
        <v>100.22727272727273</v>
      </c>
      <c r="M8" s="7">
        <f>E8*J8</f>
        <v>280</v>
      </c>
    </row>
    <row r="9" spans="1:13">
      <c r="A9" s="35"/>
      <c r="B9" s="3" t="s">
        <v>20</v>
      </c>
      <c r="C9" s="4">
        <v>46230</v>
      </c>
      <c r="D9" s="5">
        <v>502</v>
      </c>
      <c r="E9" s="36"/>
      <c r="F9" s="6">
        <f>IF(E8=0,0,D9/E8)</f>
        <v>62.75</v>
      </c>
      <c r="G9" s="37"/>
      <c r="H9" s="40"/>
      <c r="I9" s="38"/>
      <c r="J9" s="38"/>
      <c r="K9" s="5">
        <v>0.85</v>
      </c>
      <c r="L9" s="6">
        <f>2.52/K9*J8</f>
        <v>103.76470588235294</v>
      </c>
      <c r="M9" s="7"/>
    </row>
    <row r="10" spans="1:13">
      <c r="A10" s="8" t="s">
        <v>21</v>
      </c>
      <c r="B10" s="3" t="s">
        <v>17</v>
      </c>
      <c r="C10" s="4">
        <v>46219</v>
      </c>
      <c r="D10" s="5">
        <v>1615</v>
      </c>
      <c r="E10" s="9">
        <v>9</v>
      </c>
      <c r="F10" s="6">
        <f>IF(E10=0,0,D10/E10)</f>
        <v>179.44444444444446</v>
      </c>
      <c r="G10" s="10">
        <f>IF(E10=0,0,SUMPRODUCT(F10:F10,K10:K10)/(J10*2.52))</f>
        <v>1.7208627278071724</v>
      </c>
      <c r="H10" s="10">
        <v>1.63</v>
      </c>
      <c r="I10" s="11">
        <f t="shared" ref="I10:I15" si="0">G10*J10*E10</f>
        <v>557.55952380952385</v>
      </c>
      <c r="J10" s="11">
        <v>36</v>
      </c>
      <c r="K10" s="5">
        <v>0.87</v>
      </c>
      <c r="L10" s="6">
        <f t="shared" ref="L10:L15" si="1">2.52/K10*J10</f>
        <v>104.27586206896552</v>
      </c>
      <c r="M10" s="7">
        <f t="shared" ref="M10:M15" si="2">E10*J10</f>
        <v>324</v>
      </c>
    </row>
    <row r="11" spans="1:13">
      <c r="A11" s="8" t="s">
        <v>22</v>
      </c>
      <c r="B11" s="3" t="s">
        <v>23</v>
      </c>
      <c r="C11" s="4">
        <v>46213</v>
      </c>
      <c r="D11" s="5">
        <v>684</v>
      </c>
      <c r="E11" s="9">
        <v>8</v>
      </c>
      <c r="F11" s="6">
        <f>IF(E11=0,0,D11/E11)</f>
        <v>85.5</v>
      </c>
      <c r="G11" s="10">
        <f>IF(E11=0,0,SUMPRODUCT(F11:F11,K11:K11)/(J11*2.52))</f>
        <v>1.9313186813186816</v>
      </c>
      <c r="H11" s="10">
        <v>2.1</v>
      </c>
      <c r="I11" s="11">
        <f t="shared" si="0"/>
        <v>602.57142857142867</v>
      </c>
      <c r="J11" s="11">
        <v>39</v>
      </c>
      <c r="K11" s="5">
        <v>2.2200000000000002</v>
      </c>
      <c r="L11" s="6">
        <f t="shared" si="1"/>
        <v>44.270270270270267</v>
      </c>
      <c r="M11" s="7">
        <f t="shared" si="2"/>
        <v>312</v>
      </c>
    </row>
    <row r="12" spans="1:13">
      <c r="A12" s="8" t="s">
        <v>24</v>
      </c>
      <c r="B12" s="3" t="s">
        <v>23</v>
      </c>
      <c r="C12" s="4">
        <v>46207</v>
      </c>
      <c r="D12" s="5">
        <v>642</v>
      </c>
      <c r="E12" s="9">
        <v>8</v>
      </c>
      <c r="F12" s="6">
        <f>IF(E12=0,0,D12/E12)</f>
        <v>80.25</v>
      </c>
      <c r="G12" s="10">
        <f>IF(E12=0,0,SUMPRODUCT(F12:F12,K12:K12)/(J12*2.52))</f>
        <v>1.9637896825396828</v>
      </c>
      <c r="H12" s="10">
        <v>2.1</v>
      </c>
      <c r="I12" s="11">
        <f t="shared" si="0"/>
        <v>565.57142857142867</v>
      </c>
      <c r="J12" s="11">
        <v>36</v>
      </c>
      <c r="K12" s="5">
        <v>2.2200000000000002</v>
      </c>
      <c r="L12" s="6">
        <f t="shared" si="1"/>
        <v>40.864864864864863</v>
      </c>
      <c r="M12" s="7">
        <f t="shared" si="2"/>
        <v>288</v>
      </c>
    </row>
    <row r="13" spans="1:13">
      <c r="A13" s="8" t="s">
        <v>25</v>
      </c>
      <c r="B13" s="3" t="s">
        <v>26</v>
      </c>
      <c r="C13" s="4">
        <v>46219</v>
      </c>
      <c r="D13" s="5">
        <v>604</v>
      </c>
      <c r="E13" s="9">
        <v>8</v>
      </c>
      <c r="F13" s="6">
        <f>IF(E13=0,0,D13/E13)</f>
        <v>75.5</v>
      </c>
      <c r="G13" s="10">
        <f>IF(E13=0,0,SUMPRODUCT(F13:F13,K13:K13)/(J13*2.52))</f>
        <v>1.4507101086048455</v>
      </c>
      <c r="H13" s="10">
        <v>1.4</v>
      </c>
      <c r="I13" s="11">
        <f t="shared" si="0"/>
        <v>441.01587301587301</v>
      </c>
      <c r="J13" s="11">
        <v>38</v>
      </c>
      <c r="K13" s="5">
        <v>1.84</v>
      </c>
      <c r="L13" s="6">
        <f t="shared" si="1"/>
        <v>52.043478260869563</v>
      </c>
      <c r="M13" s="7">
        <f t="shared" si="2"/>
        <v>304</v>
      </c>
    </row>
    <row r="14" spans="1:13">
      <c r="A14" s="8" t="s">
        <v>27</v>
      </c>
      <c r="B14" s="3" t="s">
        <v>28</v>
      </c>
      <c r="C14" s="4">
        <v>46219</v>
      </c>
      <c r="D14" s="5">
        <v>1085</v>
      </c>
      <c r="E14" s="9">
        <v>8</v>
      </c>
      <c r="F14" s="6">
        <f>IF(E14=0,0,D14/E14)</f>
        <v>135.625</v>
      </c>
      <c r="G14" s="10">
        <f>IF(E14=0,0,SUMPRODUCT(F14:F14,K14:K14)/(J14*2.52))</f>
        <v>1.2038559941520468</v>
      </c>
      <c r="H14" s="10">
        <v>1.1000000000000001</v>
      </c>
      <c r="I14" s="11">
        <f t="shared" si="0"/>
        <v>365.97222222222223</v>
      </c>
      <c r="J14" s="11">
        <v>38</v>
      </c>
      <c r="K14" s="5">
        <v>0.85</v>
      </c>
      <c r="L14" s="6">
        <f t="shared" si="1"/>
        <v>112.65882352941176</v>
      </c>
      <c r="M14" s="7">
        <f t="shared" si="2"/>
        <v>304</v>
      </c>
    </row>
    <row r="15" spans="1:13">
      <c r="A15" s="35" t="s">
        <v>29</v>
      </c>
      <c r="B15" s="3" t="s">
        <v>30</v>
      </c>
      <c r="C15" s="4">
        <v>46191</v>
      </c>
      <c r="D15" s="5">
        <v>1299</v>
      </c>
      <c r="E15" s="36">
        <v>8</v>
      </c>
      <c r="F15" s="6">
        <f>IF(E15=0,0,D15/E15)</f>
        <v>162.375</v>
      </c>
      <c r="G15" s="37">
        <f>IF(E15=0,0,SUMPRODUCT(F15:F16,K15:K16)/(J15*2.52))</f>
        <v>1.7687251984126986</v>
      </c>
      <c r="H15" s="39">
        <v>1.8</v>
      </c>
      <c r="I15" s="38">
        <f t="shared" si="0"/>
        <v>509.39285714285722</v>
      </c>
      <c r="J15" s="38">
        <v>36</v>
      </c>
      <c r="K15" s="5">
        <v>0.96</v>
      </c>
      <c r="L15" s="6">
        <f t="shared" si="1"/>
        <v>94.5</v>
      </c>
      <c r="M15" s="7">
        <f t="shared" si="2"/>
        <v>288</v>
      </c>
    </row>
    <row r="16" spans="1:13">
      <c r="A16" s="35"/>
      <c r="B16" s="3" t="s">
        <v>30</v>
      </c>
      <c r="C16" s="4">
        <v>46191</v>
      </c>
      <c r="D16" s="5">
        <v>37</v>
      </c>
      <c r="E16" s="36"/>
      <c r="F16" s="6">
        <f>IF(E15=0,0,D16/E15)</f>
        <v>4.625</v>
      </c>
      <c r="G16" s="37"/>
      <c r="H16" s="40"/>
      <c r="I16" s="38"/>
      <c r="J16" s="38"/>
      <c r="K16" s="5">
        <v>0.99</v>
      </c>
      <c r="L16" s="6">
        <f>2.52/K16*J15</f>
        <v>91.63636363636364</v>
      </c>
      <c r="M16" s="7"/>
    </row>
    <row r="17" spans="1:13">
      <c r="A17" s="8" t="s">
        <v>31</v>
      </c>
      <c r="B17" s="3" t="s">
        <v>32</v>
      </c>
      <c r="C17" s="4">
        <v>46157</v>
      </c>
      <c r="D17" s="5">
        <v>1293</v>
      </c>
      <c r="E17" s="9">
        <v>8</v>
      </c>
      <c r="F17" s="6">
        <f>IF(E17=0,0,D17/E17)</f>
        <v>161.625</v>
      </c>
      <c r="G17" s="10">
        <f>IF(E17=0,0,SUMPRODUCT(F17:F17,K17:K17)/(J17*2.52))</f>
        <v>1.9734432234432233</v>
      </c>
      <c r="H17" s="10">
        <v>2</v>
      </c>
      <c r="I17" s="11">
        <f>G17*J17*E17</f>
        <v>615.71428571428567</v>
      </c>
      <c r="J17" s="11">
        <v>39</v>
      </c>
      <c r="K17" s="5">
        <v>1.2</v>
      </c>
      <c r="L17" s="6">
        <f>2.52/K17*J17</f>
        <v>81.900000000000006</v>
      </c>
      <c r="M17" s="7">
        <f>E17*J17</f>
        <v>312</v>
      </c>
    </row>
    <row r="18" spans="1:13">
      <c r="A18" s="35" t="s">
        <v>33</v>
      </c>
      <c r="B18" s="3" t="s">
        <v>34</v>
      </c>
      <c r="C18" s="4">
        <v>46154</v>
      </c>
      <c r="D18" s="5">
        <v>357</v>
      </c>
      <c r="E18" s="36">
        <v>8</v>
      </c>
      <c r="F18" s="6">
        <f>IF(E18=0,0,D18/E18)</f>
        <v>44.625</v>
      </c>
      <c r="G18" s="37">
        <f>IF(E18=0,0,SUMPRODUCT(F18:F19,K18:K19)/(J18*2.52))</f>
        <v>2.3055046805046806</v>
      </c>
      <c r="H18" s="39">
        <v>2.2000000000000002</v>
      </c>
      <c r="I18" s="38">
        <f>G18*J18*E18</f>
        <v>719.31746031746036</v>
      </c>
      <c r="J18" s="38">
        <v>39</v>
      </c>
      <c r="K18" s="5">
        <v>2.33</v>
      </c>
      <c r="L18" s="6">
        <f>2.52/K18*J18</f>
        <v>42.180257510729611</v>
      </c>
      <c r="M18" s="7">
        <f>E18*J18</f>
        <v>312</v>
      </c>
    </row>
    <row r="19" spans="1:13">
      <c r="A19" s="35"/>
      <c r="B19" s="3" t="s">
        <v>34</v>
      </c>
      <c r="C19" s="4">
        <v>46154</v>
      </c>
      <c r="D19" s="5">
        <v>407</v>
      </c>
      <c r="E19" s="36"/>
      <c r="F19" s="6">
        <f>IF(E18=0,0,D19/E18)</f>
        <v>50.875</v>
      </c>
      <c r="G19" s="37"/>
      <c r="H19" s="40"/>
      <c r="I19" s="38"/>
      <c r="J19" s="38"/>
      <c r="K19" s="5">
        <v>2.41</v>
      </c>
      <c r="L19" s="6">
        <f>2.52/K19*J18</f>
        <v>40.780082987551864</v>
      </c>
      <c r="M19" s="7"/>
    </row>
    <row r="20" spans="1:13">
      <c r="A20" s="35" t="s">
        <v>35</v>
      </c>
      <c r="B20" s="3" t="s">
        <v>36</v>
      </c>
      <c r="C20" s="4">
        <v>46221</v>
      </c>
      <c r="D20" s="5">
        <v>393</v>
      </c>
      <c r="E20" s="36">
        <v>10</v>
      </c>
      <c r="F20" s="6">
        <f>IF(E20=0,0,D20/E20)</f>
        <v>39.299999999999997</v>
      </c>
      <c r="G20" s="37">
        <f>IF(E20=0,0,SUMPRODUCT(F20:F22,K20:K22)/(J20*2.52))</f>
        <v>0.74310776942355883</v>
      </c>
      <c r="H20" s="39">
        <v>1</v>
      </c>
      <c r="I20" s="38">
        <f>G20*J20*E20</f>
        <v>282.38095238095235</v>
      </c>
      <c r="J20" s="38">
        <v>38</v>
      </c>
      <c r="K20" s="5">
        <v>1.1000000000000001</v>
      </c>
      <c r="L20" s="6">
        <f>2.52/K20*J20</f>
        <v>87.054545454545448</v>
      </c>
      <c r="M20" s="7">
        <f>E20*J20</f>
        <v>380</v>
      </c>
    </row>
    <row r="21" spans="1:13">
      <c r="A21" s="35"/>
      <c r="B21" s="3" t="s">
        <v>37</v>
      </c>
      <c r="C21" s="4">
        <v>46230</v>
      </c>
      <c r="D21" s="5">
        <v>0</v>
      </c>
      <c r="E21" s="36"/>
      <c r="F21" s="6">
        <f>IF(E20=0,0,D21/E20)</f>
        <v>0</v>
      </c>
      <c r="G21" s="37"/>
      <c r="H21" s="41"/>
      <c r="I21" s="38"/>
      <c r="J21" s="38"/>
      <c r="K21" s="5">
        <v>1.28</v>
      </c>
      <c r="L21" s="6">
        <f>2.52/K21*J20</f>
        <v>74.8125</v>
      </c>
      <c r="M21" s="7"/>
    </row>
    <row r="22" spans="1:13">
      <c r="A22" s="35"/>
      <c r="B22" s="3" t="s">
        <v>38</v>
      </c>
      <c r="C22" s="4">
        <v>46230</v>
      </c>
      <c r="D22" s="5">
        <v>210</v>
      </c>
      <c r="E22" s="36"/>
      <c r="F22" s="6">
        <f>IF(E20=0,0,D22/E20)</f>
        <v>21</v>
      </c>
      <c r="G22" s="37"/>
      <c r="H22" s="40"/>
      <c r="I22" s="38"/>
      <c r="J22" s="38"/>
      <c r="K22" s="5">
        <v>1.33</v>
      </c>
      <c r="L22" s="6">
        <f>2.52/K22*J20</f>
        <v>72</v>
      </c>
      <c r="M22" s="7"/>
    </row>
    <row r="23" spans="1:13">
      <c r="A23" s="8" t="s">
        <v>39</v>
      </c>
      <c r="B23" s="3" t="s">
        <v>40</v>
      </c>
      <c r="C23" s="4">
        <v>46220</v>
      </c>
      <c r="D23" s="5">
        <v>672</v>
      </c>
      <c r="E23" s="9">
        <v>8</v>
      </c>
      <c r="F23" s="6">
        <f>IF(E23=0,0,D23/E23)</f>
        <v>84</v>
      </c>
      <c r="G23" s="10">
        <f t="shared" ref="G23:G28" si="3">IF(E23=0,0,SUMPRODUCT(F23:F23,K23:K23)/(J23*2.52))</f>
        <v>1.3166666666666667</v>
      </c>
      <c r="H23" s="10">
        <v>1.35</v>
      </c>
      <c r="I23" s="11">
        <f t="shared" ref="I23:I29" si="4">G23*J23*E23</f>
        <v>421.33333333333331</v>
      </c>
      <c r="J23" s="11">
        <v>40</v>
      </c>
      <c r="K23" s="5">
        <v>1.58</v>
      </c>
      <c r="L23" s="6">
        <f t="shared" ref="L23:L29" si="5">2.52/K23*J23</f>
        <v>63.797468354430372</v>
      </c>
      <c r="M23" s="7">
        <f t="shared" ref="M23:M29" si="6">E23*J23</f>
        <v>320</v>
      </c>
    </row>
    <row r="24" spans="1:13">
      <c r="A24" s="8" t="s">
        <v>41</v>
      </c>
      <c r="B24" s="3" t="s">
        <v>42</v>
      </c>
      <c r="C24" s="4">
        <v>46192</v>
      </c>
      <c r="D24" s="5">
        <v>1151</v>
      </c>
      <c r="E24" s="9">
        <v>8</v>
      </c>
      <c r="F24" s="6">
        <f>IF(E24=0,0,D24/E24)</f>
        <v>143.875</v>
      </c>
      <c r="G24" s="10">
        <f t="shared" si="3"/>
        <v>1.8738298738298738</v>
      </c>
      <c r="H24" s="10">
        <v>1.7</v>
      </c>
      <c r="I24" s="11">
        <f t="shared" si="4"/>
        <v>584.6349206349206</v>
      </c>
      <c r="J24" s="11">
        <v>39</v>
      </c>
      <c r="K24" s="5">
        <v>1.28</v>
      </c>
      <c r="L24" s="6">
        <f t="shared" si="5"/>
        <v>76.78125</v>
      </c>
      <c r="M24" s="7">
        <f t="shared" si="6"/>
        <v>312</v>
      </c>
    </row>
    <row r="25" spans="1:13">
      <c r="A25" s="8" t="s">
        <v>43</v>
      </c>
      <c r="B25" s="3" t="s">
        <v>17</v>
      </c>
      <c r="C25" s="4">
        <v>46209</v>
      </c>
      <c r="D25" s="5">
        <v>1717</v>
      </c>
      <c r="E25" s="9">
        <v>9</v>
      </c>
      <c r="F25" s="6">
        <f>IF(E25=0,0,D25/E25)</f>
        <v>190.77777777777777</v>
      </c>
      <c r="G25" s="10">
        <f t="shared" si="3"/>
        <v>1.7332567529935949</v>
      </c>
      <c r="H25" s="10">
        <v>1.7</v>
      </c>
      <c r="I25" s="11">
        <f t="shared" si="4"/>
        <v>592.7738095238094</v>
      </c>
      <c r="J25" s="11">
        <v>38</v>
      </c>
      <c r="K25" s="5">
        <v>0.87</v>
      </c>
      <c r="L25" s="6">
        <f t="shared" si="5"/>
        <v>110.06896551724138</v>
      </c>
      <c r="M25" s="7">
        <f t="shared" si="6"/>
        <v>342</v>
      </c>
    </row>
    <row r="26" spans="1:13">
      <c r="A26" s="8" t="s">
        <v>44</v>
      </c>
      <c r="B26" s="3" t="s">
        <v>17</v>
      </c>
      <c r="C26" s="4">
        <v>46209</v>
      </c>
      <c r="D26" s="5">
        <v>1412</v>
      </c>
      <c r="E26" s="9">
        <v>9</v>
      </c>
      <c r="F26" s="6">
        <f>IF(E26=0,0,D26/E26)</f>
        <v>156.88888888888889</v>
      </c>
      <c r="G26" s="10">
        <f t="shared" si="3"/>
        <v>1.5045561434450325</v>
      </c>
      <c r="H26" s="10">
        <v>1.7</v>
      </c>
      <c r="I26" s="11">
        <f t="shared" si="4"/>
        <v>487.47619047619054</v>
      </c>
      <c r="J26" s="11">
        <v>36</v>
      </c>
      <c r="K26" s="5">
        <v>0.87</v>
      </c>
      <c r="L26" s="6">
        <f t="shared" si="5"/>
        <v>104.27586206896552</v>
      </c>
      <c r="M26" s="7">
        <f t="shared" si="6"/>
        <v>324</v>
      </c>
    </row>
    <row r="27" spans="1:13">
      <c r="A27" s="8" t="s">
        <v>45</v>
      </c>
      <c r="B27" s="3" t="s">
        <v>23</v>
      </c>
      <c r="C27" s="4">
        <v>46155</v>
      </c>
      <c r="D27" s="5">
        <v>675</v>
      </c>
      <c r="E27" s="9">
        <v>8</v>
      </c>
      <c r="F27" s="6">
        <f>IF(E27=0,0,D27/E27)</f>
        <v>84.375</v>
      </c>
      <c r="G27" s="10">
        <f t="shared" si="3"/>
        <v>2.0089285714285721</v>
      </c>
      <c r="H27" s="10">
        <v>2.1</v>
      </c>
      <c r="I27" s="11">
        <f t="shared" si="4"/>
        <v>594.64285714285734</v>
      </c>
      <c r="J27" s="11">
        <v>37</v>
      </c>
      <c r="K27" s="5">
        <v>2.2200000000000002</v>
      </c>
      <c r="L27" s="6">
        <f t="shared" si="5"/>
        <v>42</v>
      </c>
      <c r="M27" s="7">
        <f t="shared" si="6"/>
        <v>296</v>
      </c>
    </row>
    <row r="28" spans="1:13">
      <c r="A28" s="8" t="s">
        <v>46</v>
      </c>
      <c r="B28" s="3" t="s">
        <v>17</v>
      </c>
      <c r="C28" s="4">
        <v>46219</v>
      </c>
      <c r="D28" s="5">
        <v>1575</v>
      </c>
      <c r="E28" s="9">
        <v>9</v>
      </c>
      <c r="F28" s="6">
        <f>IF(E28=0,0,D28/E28)</f>
        <v>175</v>
      </c>
      <c r="G28" s="10">
        <f t="shared" si="3"/>
        <v>1.5491452991452992</v>
      </c>
      <c r="H28" s="10">
        <v>1.7</v>
      </c>
      <c r="I28" s="11">
        <f t="shared" si="4"/>
        <v>543.75</v>
      </c>
      <c r="J28" s="11">
        <v>39</v>
      </c>
      <c r="K28" s="5">
        <v>0.87</v>
      </c>
      <c r="L28" s="6">
        <f t="shared" si="5"/>
        <v>112.96551724137932</v>
      </c>
      <c r="M28" s="7">
        <f t="shared" si="6"/>
        <v>351</v>
      </c>
    </row>
    <row r="29" spans="1:13">
      <c r="A29" s="35" t="s">
        <v>47</v>
      </c>
      <c r="B29" s="3" t="s">
        <v>17</v>
      </c>
      <c r="C29" s="4">
        <v>46192</v>
      </c>
      <c r="D29" s="5">
        <v>1787</v>
      </c>
      <c r="E29" s="36">
        <v>9</v>
      </c>
      <c r="F29" s="6">
        <f>IF(E29=0,0,D29/E29)</f>
        <v>198.55555555555554</v>
      </c>
      <c r="G29" s="37">
        <f>IF(E29=0,0,SUMPRODUCT(F29:F30,K29:K30)/(J29*2.52))</f>
        <v>1.765805182471849</v>
      </c>
      <c r="H29" s="39">
        <v>1.8</v>
      </c>
      <c r="I29" s="38">
        <f t="shared" si="4"/>
        <v>619.79761904761904</v>
      </c>
      <c r="J29" s="38">
        <v>39</v>
      </c>
      <c r="K29" s="5">
        <v>0.87</v>
      </c>
      <c r="L29" s="6">
        <f t="shared" si="5"/>
        <v>112.96551724137932</v>
      </c>
      <c r="M29" s="7">
        <f t="shared" si="6"/>
        <v>351</v>
      </c>
    </row>
    <row r="30" spans="1:13">
      <c r="A30" s="35"/>
      <c r="B30" s="3" t="s">
        <v>17</v>
      </c>
      <c r="C30" s="4">
        <v>46192</v>
      </c>
      <c r="D30" s="5">
        <v>8</v>
      </c>
      <c r="E30" s="36"/>
      <c r="F30" s="6">
        <f>IF(E29=0,0,D30/E29)</f>
        <v>0.88888888888888884</v>
      </c>
      <c r="G30" s="37"/>
      <c r="H30" s="40"/>
      <c r="I30" s="38"/>
      <c r="J30" s="38"/>
      <c r="K30" s="5">
        <v>0.9</v>
      </c>
      <c r="L30" s="6">
        <f>2.52/K30*J29</f>
        <v>109.19999999999999</v>
      </c>
      <c r="M30" s="7"/>
    </row>
    <row r="31" spans="1:13">
      <c r="A31" s="8" t="s">
        <v>48</v>
      </c>
      <c r="B31" s="3" t="s">
        <v>49</v>
      </c>
      <c r="C31" s="4">
        <v>46219</v>
      </c>
      <c r="D31" s="5">
        <v>711</v>
      </c>
      <c r="E31" s="9">
        <v>10</v>
      </c>
      <c r="F31" s="6">
        <f>IF(E31=0,0,D31/E31)</f>
        <v>71.099999999999994</v>
      </c>
      <c r="G31" s="10">
        <f>IF(E31=0,0,SUMPRODUCT(F31:F31,K31:K31)/(J31*2.52))</f>
        <v>1.5937258687258686</v>
      </c>
      <c r="H31" s="10">
        <v>1.6</v>
      </c>
      <c r="I31" s="11">
        <f>G31*J31*E31</f>
        <v>589.67857142857144</v>
      </c>
      <c r="J31" s="11">
        <v>37</v>
      </c>
      <c r="K31" s="5">
        <v>2.09</v>
      </c>
      <c r="L31" s="6">
        <f>2.52/K31*J31</f>
        <v>44.612440191387563</v>
      </c>
      <c r="M31" s="7">
        <f>E31*J31</f>
        <v>370</v>
      </c>
    </row>
    <row r="32" spans="1:13">
      <c r="A32" s="42" t="s">
        <v>50</v>
      </c>
      <c r="B32" s="43"/>
      <c r="C32" s="44"/>
      <c r="D32" s="12">
        <f>SUM(D5:D31)</f>
        <v>21526</v>
      </c>
      <c r="E32" s="13">
        <f>SUM(E5:E31)</f>
        <v>170</v>
      </c>
      <c r="F32" s="14"/>
      <c r="G32" s="15">
        <f>SUM(I5:I31)/M32</f>
        <v>1.6237798812810529</v>
      </c>
      <c r="H32" s="15"/>
      <c r="I32" s="12"/>
      <c r="J32" s="12">
        <f>SUM(J5:J31)</f>
        <v>753</v>
      </c>
      <c r="K32" s="12"/>
      <c r="L32" s="14"/>
      <c r="M32" s="16">
        <f>SUM(M5:M31)</f>
        <v>6399</v>
      </c>
    </row>
    <row r="33" spans="1:13">
      <c r="A33" s="17"/>
      <c r="B33" s="5"/>
      <c r="C33" s="4"/>
      <c r="D33" s="5"/>
      <c r="E33" s="18"/>
      <c r="F33" s="6"/>
      <c r="G33" s="19"/>
      <c r="H33" s="19"/>
      <c r="I33" s="5"/>
      <c r="J33" s="5"/>
      <c r="K33" s="5"/>
      <c r="L33" s="6"/>
      <c r="M33" s="7"/>
    </row>
    <row r="34" spans="1:13" ht="13.5" thickBot="1">
      <c r="A34" s="45" t="s">
        <v>51</v>
      </c>
      <c r="B34" s="46"/>
      <c r="C34" s="47"/>
      <c r="D34" s="20">
        <f>SUMIF(A5:A33, "&lt;&gt;Summary", D5:D33)</f>
        <v>21526</v>
      </c>
      <c r="E34" s="21">
        <f>SUMIF(A5:A33, "&lt;&gt;Summary", E5:E33)</f>
        <v>170</v>
      </c>
      <c r="F34" s="22"/>
      <c r="G34" s="23">
        <f>SUMIF(A5:A33, "&lt;&gt;Summary", I5:I33)/M34</f>
        <v>1.6237798812810529</v>
      </c>
      <c r="H34" s="23"/>
      <c r="I34" s="20"/>
      <c r="J34" s="20">
        <f>SUMIF(A5:A33, "&lt;&gt;Summary", J5:J33)</f>
        <v>753</v>
      </c>
      <c r="K34" s="20"/>
      <c r="L34" s="22"/>
      <c r="M34" s="24">
        <f>SUMIF(A5:A33, "&lt;&gt;Summary", M5:M33)</f>
        <v>6399</v>
      </c>
    </row>
    <row r="35" spans="1:13" ht="13.5" thickTop="1"/>
    <row r="36" spans="1:13">
      <c r="C36" s="25" t="s">
        <v>52</v>
      </c>
      <c r="D36" s="26">
        <f>SUM(I5:I11)/SUM(M12:M17)</f>
        <v>1.6424566038536628</v>
      </c>
    </row>
    <row r="37" spans="1:13">
      <c r="C37" s="25" t="s">
        <v>53</v>
      </c>
      <c r="D37" s="26">
        <f>SUM(I12:I17)/SUM(M12:M17)</f>
        <v>1.6695632798573976</v>
      </c>
    </row>
    <row r="38" spans="1:13">
      <c r="C38" s="25" t="s">
        <v>54</v>
      </c>
      <c r="D38" s="26">
        <f>SUM(I18:I25)/SUM(M18:M25)</f>
        <v>1.5608886411707541</v>
      </c>
    </row>
    <row r="39" spans="1:13">
      <c r="C39" s="25" t="s">
        <v>55</v>
      </c>
      <c r="D39" s="26">
        <f>SUM(I26:I31)/SUM(M26:M31)</f>
        <v>1.675735956321063</v>
      </c>
    </row>
  </sheetData>
  <mergeCells count="51">
    <mergeCell ref="A32:C32"/>
    <mergeCell ref="A34:C34"/>
    <mergeCell ref="A20:A22"/>
    <mergeCell ref="E20:E22"/>
    <mergeCell ref="G20:G22"/>
    <mergeCell ref="I20:I22"/>
    <mergeCell ref="J20:J22"/>
    <mergeCell ref="A29:A30"/>
    <mergeCell ref="E29:E30"/>
    <mergeCell ref="G29:G30"/>
    <mergeCell ref="I29:I30"/>
    <mergeCell ref="J29:J30"/>
    <mergeCell ref="H20:H22"/>
    <mergeCell ref="H29:H30"/>
    <mergeCell ref="A15:A16"/>
    <mergeCell ref="E15:E16"/>
    <mergeCell ref="G15:G16"/>
    <mergeCell ref="I15:I16"/>
    <mergeCell ref="J15:J16"/>
    <mergeCell ref="H15:H16"/>
    <mergeCell ref="A18:A19"/>
    <mergeCell ref="E18:E19"/>
    <mergeCell ref="G18:G19"/>
    <mergeCell ref="I18:I19"/>
    <mergeCell ref="J18:J19"/>
    <mergeCell ref="H18:H19"/>
    <mergeCell ref="A5:A6"/>
    <mergeCell ref="E5:E6"/>
    <mergeCell ref="G5:G6"/>
    <mergeCell ref="I5:I6"/>
    <mergeCell ref="J5:J6"/>
    <mergeCell ref="H5:H6"/>
    <mergeCell ref="A8:A9"/>
    <mergeCell ref="E8:E9"/>
    <mergeCell ref="G8:G9"/>
    <mergeCell ref="I8:I9"/>
    <mergeCell ref="J8:J9"/>
    <mergeCell ref="H8:H9"/>
    <mergeCell ref="M3:M4"/>
    <mergeCell ref="A3:A4"/>
    <mergeCell ref="B3:B4"/>
    <mergeCell ref="C3:C4"/>
    <mergeCell ref="D3:D4"/>
    <mergeCell ref="E3:E4"/>
    <mergeCell ref="F3:F4"/>
    <mergeCell ref="H3:H4"/>
    <mergeCell ref="G3:G4"/>
    <mergeCell ref="I3:I4"/>
    <mergeCell ref="J3:J4"/>
    <mergeCell ref="K3:K4"/>
    <mergeCell ref="L3:L4"/>
  </mergeCells>
  <printOptions horizontalCentered="1"/>
  <pageMargins left="0.2" right="0.2" top="1" bottom="0.2" header="0.2" footer="0.2"/>
  <pageSetup paperSize="9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2026-07-28T01:47:38Z</cp:lastPrinted>
  <dcterms:created xsi:type="dcterms:W3CDTF">2026-07-28T00:28:10Z</dcterms:created>
  <dcterms:modified xsi:type="dcterms:W3CDTF">2026-07-28T02:25:30Z</dcterms:modified>
</cp:coreProperties>
</file>